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12F553F-C7A1-4EAB-B97F-8C9B61931E2D}" xr6:coauthVersionLast="47" xr6:coauthVersionMax="47" xr10:uidLastSave="{00000000-0000-0000-0000-000000000000}"/>
  <bookViews>
    <workbookView xWindow="-108" yWindow="-108" windowWidth="23256" windowHeight="12456" xr2:uid="{DE2457A7-07AD-42EF-8FC9-A85DE10BC8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7" i="1" l="1"/>
  <c r="G97" i="1"/>
  <c r="H97" i="1"/>
  <c r="I97" i="1"/>
  <c r="J97" i="1"/>
  <c r="K97" i="1"/>
  <c r="L97" i="1"/>
  <c r="M97" i="1"/>
  <c r="N97" i="1"/>
  <c r="O97" i="1"/>
  <c r="P97" i="1"/>
  <c r="F98" i="1"/>
  <c r="G98" i="1"/>
  <c r="H98" i="1"/>
  <c r="I98" i="1"/>
  <c r="J98" i="1"/>
  <c r="K98" i="1"/>
  <c r="L98" i="1"/>
  <c r="M98" i="1"/>
  <c r="N98" i="1"/>
  <c r="O98" i="1"/>
  <c r="P98" i="1"/>
  <c r="F99" i="1"/>
  <c r="G99" i="1"/>
  <c r="H99" i="1"/>
  <c r="I99" i="1"/>
  <c r="J99" i="1"/>
  <c r="K99" i="1"/>
  <c r="L99" i="1"/>
  <c r="M99" i="1"/>
  <c r="N99" i="1"/>
  <c r="O99" i="1"/>
  <c r="P99" i="1"/>
  <c r="F100" i="1"/>
  <c r="G100" i="1"/>
  <c r="H100" i="1"/>
  <c r="I100" i="1"/>
  <c r="J100" i="1"/>
  <c r="K100" i="1"/>
  <c r="L100" i="1"/>
  <c r="M100" i="1"/>
  <c r="N100" i="1"/>
  <c r="O100" i="1"/>
  <c r="P100" i="1"/>
  <c r="F101" i="1"/>
  <c r="G101" i="1"/>
  <c r="H101" i="1"/>
  <c r="I101" i="1"/>
  <c r="J101" i="1"/>
  <c r="K101" i="1"/>
  <c r="L101" i="1"/>
  <c r="M101" i="1"/>
  <c r="N101" i="1"/>
  <c r="O101" i="1"/>
  <c r="P101" i="1"/>
  <c r="F102" i="1"/>
  <c r="G102" i="1"/>
  <c r="H102" i="1"/>
  <c r="I102" i="1"/>
  <c r="J102" i="1"/>
  <c r="K102" i="1"/>
  <c r="L102" i="1"/>
  <c r="M102" i="1"/>
  <c r="N102" i="1"/>
  <c r="O102" i="1"/>
  <c r="P102" i="1"/>
  <c r="F103" i="1"/>
  <c r="G103" i="1"/>
  <c r="H103" i="1"/>
  <c r="I103" i="1"/>
  <c r="J103" i="1"/>
  <c r="K103" i="1"/>
  <c r="L103" i="1"/>
  <c r="M103" i="1"/>
  <c r="N103" i="1"/>
  <c r="O103" i="1"/>
  <c r="P103" i="1"/>
  <c r="F104" i="1"/>
  <c r="G104" i="1"/>
  <c r="H104" i="1"/>
  <c r="I104" i="1"/>
  <c r="J104" i="1"/>
  <c r="K104" i="1"/>
  <c r="L104" i="1"/>
  <c r="M104" i="1"/>
  <c r="N104" i="1"/>
  <c r="O104" i="1"/>
  <c r="P104" i="1"/>
  <c r="F105" i="1"/>
  <c r="G105" i="1"/>
  <c r="H105" i="1"/>
  <c r="I105" i="1"/>
  <c r="J105" i="1"/>
  <c r="K105" i="1"/>
  <c r="L105" i="1"/>
  <c r="M105" i="1"/>
  <c r="N105" i="1"/>
  <c r="O105" i="1"/>
  <c r="P105" i="1"/>
  <c r="F106" i="1"/>
  <c r="G106" i="1"/>
  <c r="H106" i="1"/>
  <c r="I106" i="1"/>
  <c r="J106" i="1"/>
  <c r="K106" i="1"/>
  <c r="L106" i="1"/>
  <c r="M106" i="1"/>
  <c r="N106" i="1"/>
  <c r="O106" i="1"/>
  <c r="P106" i="1"/>
  <c r="F107" i="1"/>
  <c r="G107" i="1"/>
  <c r="H107" i="1"/>
  <c r="I107" i="1"/>
  <c r="J107" i="1"/>
  <c r="K107" i="1"/>
  <c r="L107" i="1"/>
  <c r="M107" i="1"/>
  <c r="N107" i="1"/>
  <c r="O107" i="1"/>
  <c r="P107" i="1"/>
  <c r="F108" i="1"/>
  <c r="G108" i="1"/>
  <c r="H108" i="1"/>
  <c r="I108" i="1"/>
  <c r="J108" i="1"/>
  <c r="K108" i="1"/>
  <c r="L108" i="1"/>
  <c r="M108" i="1"/>
  <c r="N108" i="1"/>
  <c r="O108" i="1"/>
  <c r="P108" i="1"/>
  <c r="F109" i="1"/>
  <c r="G109" i="1"/>
  <c r="H109" i="1"/>
  <c r="I109" i="1"/>
  <c r="J109" i="1"/>
  <c r="K109" i="1"/>
  <c r="L109" i="1"/>
  <c r="M109" i="1"/>
  <c r="N109" i="1"/>
  <c r="O109" i="1"/>
  <c r="P109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97" i="1"/>
  <c r="E78" i="1"/>
  <c r="F78" i="1"/>
  <c r="G78" i="1"/>
  <c r="H78" i="1"/>
  <c r="I78" i="1"/>
  <c r="J78" i="1"/>
  <c r="K78" i="1"/>
  <c r="L78" i="1"/>
  <c r="M78" i="1"/>
  <c r="N78" i="1"/>
  <c r="O78" i="1"/>
  <c r="P78" i="1"/>
  <c r="E79" i="1"/>
  <c r="F79" i="1"/>
  <c r="G79" i="1"/>
  <c r="H79" i="1"/>
  <c r="I79" i="1"/>
  <c r="J79" i="1"/>
  <c r="K79" i="1"/>
  <c r="L79" i="1"/>
  <c r="M79" i="1"/>
  <c r="N79" i="1"/>
  <c r="O79" i="1"/>
  <c r="P79" i="1"/>
  <c r="E80" i="1"/>
  <c r="F80" i="1"/>
  <c r="G80" i="1"/>
  <c r="H80" i="1"/>
  <c r="I80" i="1"/>
  <c r="J80" i="1"/>
  <c r="K80" i="1"/>
  <c r="L80" i="1"/>
  <c r="M80" i="1"/>
  <c r="N80" i="1"/>
  <c r="O80" i="1"/>
  <c r="P80" i="1"/>
  <c r="E81" i="1"/>
  <c r="F81" i="1"/>
  <c r="G81" i="1"/>
  <c r="H81" i="1"/>
  <c r="I81" i="1"/>
  <c r="J81" i="1"/>
  <c r="K81" i="1"/>
  <c r="L81" i="1"/>
  <c r="M81" i="1"/>
  <c r="N81" i="1"/>
  <c r="O81" i="1"/>
  <c r="P81" i="1"/>
  <c r="E82" i="1"/>
  <c r="F82" i="1"/>
  <c r="G82" i="1"/>
  <c r="H82" i="1"/>
  <c r="I82" i="1"/>
  <c r="J82" i="1"/>
  <c r="K82" i="1"/>
  <c r="L82" i="1"/>
  <c r="M82" i="1"/>
  <c r="N82" i="1"/>
  <c r="O82" i="1"/>
  <c r="P82" i="1"/>
  <c r="E83" i="1"/>
  <c r="F83" i="1"/>
  <c r="G83" i="1"/>
  <c r="H83" i="1"/>
  <c r="I83" i="1"/>
  <c r="J83" i="1"/>
  <c r="K83" i="1"/>
  <c r="L83" i="1"/>
  <c r="M83" i="1"/>
  <c r="N83" i="1"/>
  <c r="O83" i="1"/>
  <c r="P83" i="1"/>
  <c r="E84" i="1"/>
  <c r="F84" i="1"/>
  <c r="G84" i="1"/>
  <c r="H84" i="1"/>
  <c r="I84" i="1"/>
  <c r="J84" i="1"/>
  <c r="K84" i="1"/>
  <c r="L84" i="1"/>
  <c r="M84" i="1"/>
  <c r="N84" i="1"/>
  <c r="O84" i="1"/>
  <c r="P84" i="1"/>
  <c r="E85" i="1"/>
  <c r="F85" i="1"/>
  <c r="G85" i="1"/>
  <c r="H85" i="1"/>
  <c r="I85" i="1"/>
  <c r="J85" i="1"/>
  <c r="K85" i="1"/>
  <c r="L85" i="1"/>
  <c r="M85" i="1"/>
  <c r="N85" i="1"/>
  <c r="O85" i="1"/>
  <c r="P85" i="1"/>
  <c r="E86" i="1"/>
  <c r="F86" i="1"/>
  <c r="G86" i="1"/>
  <c r="H86" i="1"/>
  <c r="I86" i="1"/>
  <c r="J86" i="1"/>
  <c r="K86" i="1"/>
  <c r="L86" i="1"/>
  <c r="M86" i="1"/>
  <c r="N86" i="1"/>
  <c r="O86" i="1"/>
  <c r="P86" i="1"/>
  <c r="E87" i="1"/>
  <c r="F87" i="1"/>
  <c r="G87" i="1"/>
  <c r="H87" i="1"/>
  <c r="I87" i="1"/>
  <c r="J87" i="1"/>
  <c r="K87" i="1"/>
  <c r="L87" i="1"/>
  <c r="M87" i="1"/>
  <c r="N87" i="1"/>
  <c r="O87" i="1"/>
  <c r="P87" i="1"/>
  <c r="E88" i="1"/>
  <c r="F88" i="1"/>
  <c r="G88" i="1"/>
  <c r="H88" i="1"/>
  <c r="I88" i="1"/>
  <c r="J88" i="1"/>
  <c r="K88" i="1"/>
  <c r="L88" i="1"/>
  <c r="M88" i="1"/>
  <c r="N88" i="1"/>
  <c r="O88" i="1"/>
  <c r="P88" i="1"/>
  <c r="E89" i="1"/>
  <c r="F89" i="1"/>
  <c r="G89" i="1"/>
  <c r="H89" i="1"/>
  <c r="I89" i="1"/>
  <c r="J89" i="1"/>
  <c r="K89" i="1"/>
  <c r="L89" i="1"/>
  <c r="M89" i="1"/>
  <c r="N89" i="1"/>
  <c r="O89" i="1"/>
  <c r="P89" i="1"/>
  <c r="E90" i="1"/>
  <c r="F90" i="1"/>
  <c r="G90" i="1"/>
  <c r="H90" i="1"/>
  <c r="I90" i="1"/>
  <c r="J90" i="1"/>
  <c r="K90" i="1"/>
  <c r="L90" i="1"/>
  <c r="M90" i="1"/>
  <c r="N90" i="1"/>
  <c r="O90" i="1"/>
  <c r="P90" i="1"/>
  <c r="D79" i="1"/>
  <c r="D80" i="1"/>
  <c r="D81" i="1"/>
  <c r="D82" i="1"/>
  <c r="D83" i="1"/>
  <c r="D84" i="1"/>
  <c r="D85" i="1"/>
  <c r="D86" i="1"/>
  <c r="D87" i="1"/>
  <c r="D88" i="1"/>
  <c r="D89" i="1"/>
  <c r="D90" i="1"/>
  <c r="D78" i="1"/>
  <c r="E61" i="1"/>
  <c r="F61" i="1"/>
  <c r="G61" i="1"/>
  <c r="H61" i="1"/>
  <c r="I61" i="1"/>
  <c r="J61" i="1"/>
  <c r="K61" i="1"/>
  <c r="L61" i="1"/>
  <c r="M61" i="1"/>
  <c r="N61" i="1"/>
  <c r="O61" i="1"/>
  <c r="P61" i="1"/>
  <c r="E62" i="1"/>
  <c r="F62" i="1"/>
  <c r="G62" i="1"/>
  <c r="H62" i="1"/>
  <c r="I62" i="1"/>
  <c r="J62" i="1"/>
  <c r="K62" i="1"/>
  <c r="L62" i="1"/>
  <c r="M62" i="1"/>
  <c r="N62" i="1"/>
  <c r="O62" i="1"/>
  <c r="P62" i="1"/>
  <c r="E63" i="1"/>
  <c r="F63" i="1"/>
  <c r="G63" i="1"/>
  <c r="H63" i="1"/>
  <c r="I63" i="1"/>
  <c r="J63" i="1"/>
  <c r="K63" i="1"/>
  <c r="L63" i="1"/>
  <c r="M63" i="1"/>
  <c r="N63" i="1"/>
  <c r="O63" i="1"/>
  <c r="P63" i="1"/>
  <c r="E64" i="1"/>
  <c r="F64" i="1"/>
  <c r="G64" i="1"/>
  <c r="H64" i="1"/>
  <c r="I64" i="1"/>
  <c r="J64" i="1"/>
  <c r="K64" i="1"/>
  <c r="L64" i="1"/>
  <c r="M64" i="1"/>
  <c r="N64" i="1"/>
  <c r="O64" i="1"/>
  <c r="P64" i="1"/>
  <c r="E65" i="1"/>
  <c r="F65" i="1"/>
  <c r="G65" i="1"/>
  <c r="H65" i="1"/>
  <c r="I65" i="1"/>
  <c r="J65" i="1"/>
  <c r="K65" i="1"/>
  <c r="L65" i="1"/>
  <c r="M65" i="1"/>
  <c r="N65" i="1"/>
  <c r="O65" i="1"/>
  <c r="P65" i="1"/>
  <c r="E66" i="1"/>
  <c r="F66" i="1"/>
  <c r="G66" i="1"/>
  <c r="H66" i="1"/>
  <c r="I66" i="1"/>
  <c r="J66" i="1"/>
  <c r="K66" i="1"/>
  <c r="L66" i="1"/>
  <c r="M66" i="1"/>
  <c r="N66" i="1"/>
  <c r="O66" i="1"/>
  <c r="P66" i="1"/>
  <c r="E67" i="1"/>
  <c r="F67" i="1"/>
  <c r="G67" i="1"/>
  <c r="H67" i="1"/>
  <c r="I67" i="1"/>
  <c r="J67" i="1"/>
  <c r="K67" i="1"/>
  <c r="L67" i="1"/>
  <c r="M67" i="1"/>
  <c r="N67" i="1"/>
  <c r="O67" i="1"/>
  <c r="P67" i="1"/>
  <c r="E68" i="1"/>
  <c r="F68" i="1"/>
  <c r="G68" i="1"/>
  <c r="H68" i="1"/>
  <c r="I68" i="1"/>
  <c r="J68" i="1"/>
  <c r="K68" i="1"/>
  <c r="L68" i="1"/>
  <c r="M68" i="1"/>
  <c r="N68" i="1"/>
  <c r="O68" i="1"/>
  <c r="P68" i="1"/>
  <c r="E69" i="1"/>
  <c r="F69" i="1"/>
  <c r="G69" i="1"/>
  <c r="H69" i="1"/>
  <c r="I69" i="1"/>
  <c r="J69" i="1"/>
  <c r="K69" i="1"/>
  <c r="L69" i="1"/>
  <c r="M69" i="1"/>
  <c r="N69" i="1"/>
  <c r="O69" i="1"/>
  <c r="P69" i="1"/>
  <c r="E70" i="1"/>
  <c r="F70" i="1"/>
  <c r="G70" i="1"/>
  <c r="H70" i="1"/>
  <c r="I70" i="1"/>
  <c r="J70" i="1"/>
  <c r="K70" i="1"/>
  <c r="L70" i="1"/>
  <c r="M70" i="1"/>
  <c r="N70" i="1"/>
  <c r="O70" i="1"/>
  <c r="P70" i="1"/>
  <c r="E71" i="1"/>
  <c r="F71" i="1"/>
  <c r="G71" i="1"/>
  <c r="H71" i="1"/>
  <c r="I71" i="1"/>
  <c r="J71" i="1"/>
  <c r="K71" i="1"/>
  <c r="L71" i="1"/>
  <c r="M71" i="1"/>
  <c r="N71" i="1"/>
  <c r="O71" i="1"/>
  <c r="P71" i="1"/>
  <c r="E72" i="1"/>
  <c r="F72" i="1"/>
  <c r="G72" i="1"/>
  <c r="H72" i="1"/>
  <c r="I72" i="1"/>
  <c r="J72" i="1"/>
  <c r="K72" i="1"/>
  <c r="L72" i="1"/>
  <c r="M72" i="1"/>
  <c r="N72" i="1"/>
  <c r="O72" i="1"/>
  <c r="P72" i="1"/>
  <c r="E73" i="1"/>
  <c r="F73" i="1"/>
  <c r="G73" i="1"/>
  <c r="H73" i="1"/>
  <c r="I73" i="1"/>
  <c r="J73" i="1"/>
  <c r="K73" i="1"/>
  <c r="L73" i="1"/>
  <c r="M73" i="1"/>
  <c r="N73" i="1"/>
  <c r="O73" i="1"/>
  <c r="P73" i="1"/>
  <c r="D62" i="1"/>
  <c r="D63" i="1"/>
  <c r="D64" i="1"/>
  <c r="D65" i="1"/>
  <c r="D66" i="1"/>
  <c r="D67" i="1"/>
  <c r="D68" i="1"/>
  <c r="D69" i="1"/>
  <c r="D70" i="1"/>
  <c r="D71" i="1"/>
  <c r="D72" i="1"/>
  <c r="D73" i="1"/>
  <c r="D61" i="1"/>
</calcChain>
</file>

<file path=xl/sharedStrings.xml><?xml version="1.0" encoding="utf-8"?>
<sst xmlns="http://schemas.openxmlformats.org/spreadsheetml/2006/main" count="90" uniqueCount="20">
  <si>
    <t>order cohort</t>
  </si>
  <si>
    <t>customer_first_purchase</t>
  </si>
  <si>
    <t>month_0</t>
  </si>
  <si>
    <t>month_1</t>
  </si>
  <si>
    <t>month_2</t>
  </si>
  <si>
    <t>month_3</t>
  </si>
  <si>
    <t>month_4</t>
  </si>
  <si>
    <t>month_5</t>
  </si>
  <si>
    <t>month_6</t>
  </si>
  <si>
    <t>month_7</t>
  </si>
  <si>
    <t>month_8</t>
  </si>
  <si>
    <t>month_9</t>
  </si>
  <si>
    <t>month_10</t>
  </si>
  <si>
    <t>month_11</t>
  </si>
  <si>
    <t>month_12</t>
  </si>
  <si>
    <t>customer cohort</t>
  </si>
  <si>
    <t>revenue cohort</t>
  </si>
  <si>
    <t>AOV</t>
  </si>
  <si>
    <t>ARPC</t>
  </si>
  <si>
    <t>RETENTION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</si>
</sst>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4" fontId="2" fillId="0" borderId="0" xfId="0" applyNumberFormat="1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9A8A-C9E6-4771-ADCC-252639ECDF93}">
  <dimension ref="C5:P109"/>
  <sheetViews>
    <sheetView tabSelected="1" topLeftCell="A93" workbookViewId="0">
      <selection activeCell="J112" sqref="J112"/>
    </sheetView>
  </sheetViews>
  <sheetFormatPr defaultRowHeight="14.4" x14ac:dyDescent="0.3"/>
  <cols>
    <col min="3" max="3" width="21.77734375" style="1" bestFit="1" customWidth="1"/>
    <col min="4" max="7" width="9" bestFit="1" customWidth="1"/>
    <col min="8" max="8" width="8.109375" bestFit="1" customWidth="1"/>
    <col min="9" max="10" width="9" bestFit="1" customWidth="1"/>
    <col min="11" max="11" width="10" bestFit="1" customWidth="1"/>
    <col min="12" max="13" width="9" bestFit="1" customWidth="1"/>
    <col min="14" max="16" width="9.109375" bestFit="1" customWidth="1"/>
    <col min="17" max="17" width="19.33203125" customWidth="1"/>
  </cols>
  <sheetData>
    <row r="5" spans="3:16" x14ac:dyDescent="0.3">
      <c r="C5" s="1" t="s">
        <v>0</v>
      </c>
    </row>
    <row r="7" spans="3:16" s="1" customFormat="1" x14ac:dyDescent="0.3"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</row>
    <row r="8" spans="3:16" x14ac:dyDescent="0.3">
      <c r="C8" s="2">
        <v>40513</v>
      </c>
      <c r="D8">
        <v>1708</v>
      </c>
      <c r="E8">
        <v>689</v>
      </c>
      <c r="F8">
        <v>579</v>
      </c>
      <c r="G8">
        <v>753</v>
      </c>
      <c r="H8">
        <v>611</v>
      </c>
      <c r="I8">
        <v>801</v>
      </c>
      <c r="J8">
        <v>736</v>
      </c>
      <c r="K8">
        <v>691</v>
      </c>
      <c r="L8">
        <v>661</v>
      </c>
      <c r="M8">
        <v>798</v>
      </c>
      <c r="N8">
        <v>762</v>
      </c>
      <c r="O8">
        <v>1135</v>
      </c>
      <c r="P8">
        <v>395</v>
      </c>
    </row>
    <row r="9" spans="3:16" x14ac:dyDescent="0.3">
      <c r="C9" s="2">
        <v>40544</v>
      </c>
      <c r="D9" s="1">
        <v>547</v>
      </c>
      <c r="E9">
        <v>149</v>
      </c>
      <c r="F9">
        <v>182</v>
      </c>
      <c r="G9">
        <v>151</v>
      </c>
      <c r="H9">
        <v>233</v>
      </c>
      <c r="I9">
        <v>196</v>
      </c>
      <c r="J9">
        <v>178</v>
      </c>
      <c r="K9">
        <v>172</v>
      </c>
      <c r="L9">
        <v>189</v>
      </c>
      <c r="M9">
        <v>235</v>
      </c>
      <c r="N9">
        <v>282</v>
      </c>
      <c r="O9">
        <v>89</v>
      </c>
      <c r="P9">
        <v>0</v>
      </c>
    </row>
    <row r="10" spans="3:16" x14ac:dyDescent="0.3">
      <c r="C10" s="2">
        <v>40575</v>
      </c>
      <c r="D10">
        <v>474</v>
      </c>
      <c r="E10">
        <v>136</v>
      </c>
      <c r="F10">
        <v>113</v>
      </c>
      <c r="G10">
        <v>162</v>
      </c>
      <c r="H10">
        <v>141</v>
      </c>
      <c r="I10">
        <v>134</v>
      </c>
      <c r="J10">
        <v>124</v>
      </c>
      <c r="K10">
        <v>164</v>
      </c>
      <c r="L10">
        <v>136</v>
      </c>
      <c r="M10">
        <v>187</v>
      </c>
      <c r="N10">
        <v>40</v>
      </c>
      <c r="O10">
        <v>0</v>
      </c>
      <c r="P10">
        <v>0</v>
      </c>
    </row>
    <row r="11" spans="3:16" x14ac:dyDescent="0.3">
      <c r="C11" s="2">
        <v>40603</v>
      </c>
      <c r="D11">
        <v>548</v>
      </c>
      <c r="E11">
        <v>123</v>
      </c>
      <c r="F11">
        <v>178</v>
      </c>
      <c r="G11">
        <v>150</v>
      </c>
      <c r="H11">
        <v>142</v>
      </c>
      <c r="I11">
        <v>123</v>
      </c>
      <c r="J11">
        <v>159</v>
      </c>
      <c r="K11">
        <v>161</v>
      </c>
      <c r="L11">
        <v>222</v>
      </c>
      <c r="M11">
        <v>48</v>
      </c>
      <c r="N11">
        <v>0</v>
      </c>
      <c r="O11">
        <v>0</v>
      </c>
      <c r="P11">
        <v>0</v>
      </c>
    </row>
    <row r="12" spans="3:16" x14ac:dyDescent="0.3">
      <c r="C12" s="2">
        <v>40634</v>
      </c>
      <c r="D12">
        <v>386</v>
      </c>
      <c r="E12">
        <v>109</v>
      </c>
      <c r="F12">
        <v>93</v>
      </c>
      <c r="G12">
        <v>78</v>
      </c>
      <c r="H12">
        <v>83</v>
      </c>
      <c r="I12">
        <v>89</v>
      </c>
      <c r="J12">
        <v>94</v>
      </c>
      <c r="K12">
        <v>120</v>
      </c>
      <c r="L12">
        <v>32</v>
      </c>
      <c r="M12">
        <v>0</v>
      </c>
      <c r="N12">
        <v>0</v>
      </c>
      <c r="O12">
        <v>0</v>
      </c>
      <c r="P12">
        <v>0</v>
      </c>
    </row>
    <row r="13" spans="3:16" x14ac:dyDescent="0.3">
      <c r="C13" s="2">
        <v>40664</v>
      </c>
      <c r="D13">
        <v>366</v>
      </c>
      <c r="E13">
        <v>93</v>
      </c>
      <c r="F13">
        <v>64</v>
      </c>
      <c r="G13">
        <v>70</v>
      </c>
      <c r="H13">
        <v>93</v>
      </c>
      <c r="I13">
        <v>87</v>
      </c>
      <c r="J13">
        <v>113</v>
      </c>
      <c r="K13">
        <v>37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3:16" x14ac:dyDescent="0.3">
      <c r="C14" s="2">
        <v>40695</v>
      </c>
      <c r="D14">
        <v>298</v>
      </c>
      <c r="E14">
        <v>71</v>
      </c>
      <c r="F14">
        <v>58</v>
      </c>
      <c r="G14">
        <v>91</v>
      </c>
      <c r="H14">
        <v>79</v>
      </c>
      <c r="I14">
        <v>129</v>
      </c>
      <c r="J14">
        <v>30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3:16" x14ac:dyDescent="0.3">
      <c r="C15" s="2">
        <v>40725</v>
      </c>
      <c r="D15">
        <v>235</v>
      </c>
      <c r="E15">
        <v>50</v>
      </c>
      <c r="F15">
        <v>59</v>
      </c>
      <c r="G15">
        <v>57</v>
      </c>
      <c r="H15">
        <v>84</v>
      </c>
      <c r="I15">
        <v>25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3:16" x14ac:dyDescent="0.3">
      <c r="C16" s="2">
        <v>40756</v>
      </c>
      <c r="D16">
        <v>203</v>
      </c>
      <c r="E16">
        <v>59</v>
      </c>
      <c r="F16">
        <v>70</v>
      </c>
      <c r="G16">
        <v>68</v>
      </c>
      <c r="H16">
        <v>26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3:16" x14ac:dyDescent="0.3">
      <c r="C17" s="2">
        <v>40787</v>
      </c>
      <c r="D17">
        <v>377</v>
      </c>
      <c r="E17">
        <v>127</v>
      </c>
      <c r="F17">
        <v>154</v>
      </c>
      <c r="G17">
        <v>42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3:16" x14ac:dyDescent="0.3">
      <c r="C18" s="2">
        <v>40817</v>
      </c>
      <c r="D18">
        <v>455</v>
      </c>
      <c r="E18">
        <v>167</v>
      </c>
      <c r="F18">
        <v>57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3:16" x14ac:dyDescent="0.3">
      <c r="C19" s="2">
        <v>40848</v>
      </c>
      <c r="D19">
        <v>425</v>
      </c>
      <c r="E19">
        <v>55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3:16" x14ac:dyDescent="0.3">
      <c r="C20" s="2">
        <v>40878</v>
      </c>
      <c r="D20">
        <v>45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2" spans="3:16" x14ac:dyDescent="0.3">
      <c r="C22" s="1" t="s">
        <v>15</v>
      </c>
    </row>
    <row r="24" spans="3:16" s="1" customFormat="1" x14ac:dyDescent="0.3">
      <c r="C24" s="1" t="s">
        <v>1</v>
      </c>
      <c r="D24" s="1" t="s">
        <v>2</v>
      </c>
      <c r="E24" s="1" t="s">
        <v>3</v>
      </c>
      <c r="F24" s="1" t="s">
        <v>4</v>
      </c>
      <c r="G24" s="1" t="s">
        <v>5</v>
      </c>
      <c r="H24" s="1" t="s">
        <v>6</v>
      </c>
      <c r="I24" s="1" t="s">
        <v>7</v>
      </c>
      <c r="J24" s="1" t="s">
        <v>8</v>
      </c>
      <c r="K24" s="1" t="s">
        <v>9</v>
      </c>
      <c r="L24" s="1" t="s">
        <v>10</v>
      </c>
      <c r="M24" s="1" t="s">
        <v>11</v>
      </c>
      <c r="N24" s="1" t="s">
        <v>12</v>
      </c>
      <c r="O24" s="1" t="s">
        <v>13</v>
      </c>
      <c r="P24" s="1" t="s">
        <v>14</v>
      </c>
    </row>
    <row r="25" spans="3:16" x14ac:dyDescent="0.3">
      <c r="C25" s="2">
        <v>40513</v>
      </c>
      <c r="D25">
        <v>948</v>
      </c>
      <c r="E25">
        <v>362</v>
      </c>
      <c r="F25">
        <v>317</v>
      </c>
      <c r="G25">
        <v>367</v>
      </c>
      <c r="H25">
        <v>341</v>
      </c>
      <c r="I25">
        <v>376</v>
      </c>
      <c r="J25">
        <v>360</v>
      </c>
      <c r="K25">
        <v>336</v>
      </c>
      <c r="L25">
        <v>336</v>
      </c>
      <c r="M25">
        <v>374</v>
      </c>
      <c r="N25">
        <v>354</v>
      </c>
      <c r="O25">
        <v>474</v>
      </c>
      <c r="P25">
        <v>260</v>
      </c>
    </row>
    <row r="26" spans="3:16" x14ac:dyDescent="0.3">
      <c r="C26" s="2">
        <v>40544</v>
      </c>
      <c r="D26" s="1">
        <v>421</v>
      </c>
      <c r="E26">
        <v>101</v>
      </c>
      <c r="F26">
        <v>119</v>
      </c>
      <c r="G26">
        <v>102</v>
      </c>
      <c r="H26">
        <v>138</v>
      </c>
      <c r="I26">
        <v>126</v>
      </c>
      <c r="J26">
        <v>110</v>
      </c>
      <c r="K26">
        <v>108</v>
      </c>
      <c r="L26">
        <v>131</v>
      </c>
      <c r="M26">
        <v>146</v>
      </c>
      <c r="N26">
        <v>155</v>
      </c>
      <c r="O26">
        <v>63</v>
      </c>
      <c r="P26">
        <v>0</v>
      </c>
    </row>
    <row r="27" spans="3:16" x14ac:dyDescent="0.3">
      <c r="C27" s="2">
        <v>40575</v>
      </c>
      <c r="D27">
        <v>380</v>
      </c>
      <c r="E27">
        <v>94</v>
      </c>
      <c r="F27">
        <v>73</v>
      </c>
      <c r="G27">
        <v>106</v>
      </c>
      <c r="H27">
        <v>102</v>
      </c>
      <c r="I27">
        <v>94</v>
      </c>
      <c r="J27">
        <v>97</v>
      </c>
      <c r="K27">
        <v>107</v>
      </c>
      <c r="L27">
        <v>98</v>
      </c>
      <c r="M27">
        <v>119</v>
      </c>
      <c r="N27">
        <v>35</v>
      </c>
      <c r="O27">
        <v>0</v>
      </c>
      <c r="P27">
        <v>0</v>
      </c>
    </row>
    <row r="28" spans="3:16" x14ac:dyDescent="0.3">
      <c r="C28" s="2">
        <v>40603</v>
      </c>
      <c r="D28">
        <v>440</v>
      </c>
      <c r="E28">
        <v>84</v>
      </c>
      <c r="F28">
        <v>112</v>
      </c>
      <c r="G28">
        <v>96</v>
      </c>
      <c r="H28">
        <v>102</v>
      </c>
      <c r="I28">
        <v>78</v>
      </c>
      <c r="J28">
        <v>116</v>
      </c>
      <c r="K28">
        <v>105</v>
      </c>
      <c r="L28">
        <v>127</v>
      </c>
      <c r="M28">
        <v>39</v>
      </c>
      <c r="N28">
        <v>0</v>
      </c>
      <c r="O28">
        <v>0</v>
      </c>
      <c r="P28">
        <v>0</v>
      </c>
    </row>
    <row r="29" spans="3:16" x14ac:dyDescent="0.3">
      <c r="C29" s="2">
        <v>40634</v>
      </c>
      <c r="D29">
        <v>299</v>
      </c>
      <c r="E29">
        <v>68</v>
      </c>
      <c r="F29">
        <v>66</v>
      </c>
      <c r="G29">
        <v>63</v>
      </c>
      <c r="H29">
        <v>62</v>
      </c>
      <c r="I29">
        <v>71</v>
      </c>
      <c r="J29">
        <v>69</v>
      </c>
      <c r="K29">
        <v>78</v>
      </c>
      <c r="L29">
        <v>25</v>
      </c>
      <c r="M29">
        <v>0</v>
      </c>
      <c r="N29">
        <v>0</v>
      </c>
      <c r="O29">
        <v>0</v>
      </c>
      <c r="P29">
        <v>0</v>
      </c>
    </row>
    <row r="30" spans="3:16" x14ac:dyDescent="0.3">
      <c r="C30" s="2">
        <v>40664</v>
      </c>
      <c r="D30">
        <v>279</v>
      </c>
      <c r="E30">
        <v>66</v>
      </c>
      <c r="F30">
        <v>48</v>
      </c>
      <c r="G30">
        <v>48</v>
      </c>
      <c r="H30">
        <v>60</v>
      </c>
      <c r="I30">
        <v>68</v>
      </c>
      <c r="J30">
        <v>74</v>
      </c>
      <c r="K30">
        <v>29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3:16" x14ac:dyDescent="0.3">
      <c r="C31" s="2">
        <v>40695</v>
      </c>
      <c r="D31">
        <v>235</v>
      </c>
      <c r="E31">
        <v>49</v>
      </c>
      <c r="F31">
        <v>44</v>
      </c>
      <c r="G31">
        <v>64</v>
      </c>
      <c r="H31">
        <v>58</v>
      </c>
      <c r="I31">
        <v>79</v>
      </c>
      <c r="J31">
        <v>24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3:16" x14ac:dyDescent="0.3">
      <c r="C32" s="2">
        <v>40725</v>
      </c>
      <c r="D32">
        <v>191</v>
      </c>
      <c r="E32">
        <v>40</v>
      </c>
      <c r="F32">
        <v>39</v>
      </c>
      <c r="G32">
        <v>44</v>
      </c>
      <c r="H32">
        <v>52</v>
      </c>
      <c r="I32">
        <v>22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3:16" x14ac:dyDescent="0.3">
      <c r="C33" s="2">
        <v>40756</v>
      </c>
      <c r="D33">
        <v>167</v>
      </c>
      <c r="E33">
        <v>42</v>
      </c>
      <c r="F33">
        <v>42</v>
      </c>
      <c r="G33">
        <v>42</v>
      </c>
      <c r="H33">
        <v>23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3:16" x14ac:dyDescent="0.3">
      <c r="C34" s="2">
        <v>40787</v>
      </c>
      <c r="D34">
        <v>298</v>
      </c>
      <c r="E34">
        <v>89</v>
      </c>
      <c r="F34">
        <v>97</v>
      </c>
      <c r="G34">
        <v>36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3:16" x14ac:dyDescent="0.3">
      <c r="C35" s="2">
        <v>40817</v>
      </c>
      <c r="D35">
        <v>352</v>
      </c>
      <c r="E35">
        <v>93</v>
      </c>
      <c r="F35">
        <v>46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3:16" x14ac:dyDescent="0.3">
      <c r="C36" s="2">
        <v>40848</v>
      </c>
      <c r="D36">
        <v>321</v>
      </c>
      <c r="E36">
        <v>43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3:16" x14ac:dyDescent="0.3">
      <c r="C37" s="2">
        <v>40878</v>
      </c>
      <c r="D37">
        <v>41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40" spans="3:16" x14ac:dyDescent="0.3">
      <c r="C40" s="1" t="s">
        <v>16</v>
      </c>
    </row>
    <row r="42" spans="3:16" s="1" customFormat="1" x14ac:dyDescent="0.3">
      <c r="C42" s="1" t="s">
        <v>1</v>
      </c>
      <c r="D42" s="1" t="s">
        <v>2</v>
      </c>
      <c r="E42" s="1" t="s">
        <v>3</v>
      </c>
      <c r="F42" s="1" t="s">
        <v>4</v>
      </c>
      <c r="G42" s="1" t="s">
        <v>5</v>
      </c>
      <c r="H42" s="1" t="s">
        <v>6</v>
      </c>
      <c r="I42" s="1" t="s">
        <v>7</v>
      </c>
      <c r="J42" s="1" t="s">
        <v>8</v>
      </c>
      <c r="K42" s="1" t="s">
        <v>9</v>
      </c>
      <c r="L42" s="1" t="s">
        <v>10</v>
      </c>
      <c r="M42" s="1" t="s">
        <v>11</v>
      </c>
      <c r="N42" s="1" t="s">
        <v>12</v>
      </c>
      <c r="O42" s="1" t="s">
        <v>13</v>
      </c>
      <c r="P42" s="1" t="s">
        <v>14</v>
      </c>
    </row>
    <row r="43" spans="3:16" x14ac:dyDescent="0.3">
      <c r="C43" s="2">
        <v>40513</v>
      </c>
      <c r="D43">
        <v>48350.37</v>
      </c>
      <c r="E43">
        <v>21232.79</v>
      </c>
      <c r="F43">
        <v>22896.43</v>
      </c>
      <c r="G43">
        <v>27590.25</v>
      </c>
      <c r="H43">
        <v>21834.400000000001</v>
      </c>
      <c r="I43">
        <v>47418.559999999998</v>
      </c>
      <c r="J43">
        <v>31896.560000000001</v>
      </c>
      <c r="K43">
        <v>31413.17</v>
      </c>
      <c r="L43">
        <v>31299.54</v>
      </c>
      <c r="M43">
        <v>39987.410000000003</v>
      </c>
      <c r="N43">
        <v>49023.82</v>
      </c>
      <c r="O43">
        <v>37497.93</v>
      </c>
      <c r="P43">
        <v>16086.29</v>
      </c>
    </row>
    <row r="44" spans="3:16" x14ac:dyDescent="0.3">
      <c r="C44" s="2">
        <v>40544</v>
      </c>
      <c r="D44" s="1">
        <v>98951.28</v>
      </c>
      <c r="E44">
        <v>4615.96</v>
      </c>
      <c r="F44">
        <v>4397.3599999999997</v>
      </c>
      <c r="G44">
        <v>11835.16</v>
      </c>
      <c r="H44">
        <v>6725.81</v>
      </c>
      <c r="I44">
        <v>5112.16</v>
      </c>
      <c r="J44">
        <v>4655.5</v>
      </c>
      <c r="K44">
        <v>4933.2</v>
      </c>
      <c r="L44">
        <v>5540.92</v>
      </c>
      <c r="M44">
        <v>11122.44</v>
      </c>
      <c r="N44">
        <v>11251.33</v>
      </c>
      <c r="O44">
        <v>3404.58</v>
      </c>
      <c r="P44">
        <v>0</v>
      </c>
    </row>
    <row r="45" spans="3:16" x14ac:dyDescent="0.3">
      <c r="C45" s="2">
        <v>40575</v>
      </c>
      <c r="D45">
        <v>14699.25</v>
      </c>
      <c r="E45">
        <v>4909.41</v>
      </c>
      <c r="F45">
        <v>7617.53</v>
      </c>
      <c r="G45">
        <v>5326.25</v>
      </c>
      <c r="H45">
        <v>2712.22</v>
      </c>
      <c r="I45">
        <v>3021.57</v>
      </c>
      <c r="J45">
        <v>3872.59</v>
      </c>
      <c r="K45">
        <v>5068.0200000000004</v>
      </c>
      <c r="L45">
        <v>6312.79</v>
      </c>
      <c r="M45">
        <v>6100.89</v>
      </c>
      <c r="N45">
        <v>2163.7199999999998</v>
      </c>
      <c r="O45">
        <v>0</v>
      </c>
      <c r="P45">
        <v>0</v>
      </c>
    </row>
    <row r="46" spans="3:16" x14ac:dyDescent="0.3">
      <c r="C46" s="2">
        <v>40603</v>
      </c>
      <c r="D46">
        <v>10048.42</v>
      </c>
      <c r="E46">
        <v>5434.98</v>
      </c>
      <c r="F46">
        <v>7045.86</v>
      </c>
      <c r="G46">
        <v>4650.97</v>
      </c>
      <c r="H46">
        <v>4924.7</v>
      </c>
      <c r="I46">
        <v>2968.51</v>
      </c>
      <c r="J46">
        <v>5367.63</v>
      </c>
      <c r="K46">
        <v>7242.75</v>
      </c>
      <c r="L46">
        <v>8782.3799999999992</v>
      </c>
      <c r="M46">
        <v>2269.65</v>
      </c>
      <c r="N46">
        <v>0</v>
      </c>
      <c r="O46">
        <v>0</v>
      </c>
      <c r="P46">
        <v>0</v>
      </c>
    </row>
    <row r="47" spans="3:16" x14ac:dyDescent="0.3">
      <c r="C47" s="2">
        <v>40634</v>
      </c>
      <c r="D47">
        <v>6791.6</v>
      </c>
      <c r="E47">
        <v>2772.67</v>
      </c>
      <c r="F47">
        <v>2948.95</v>
      </c>
      <c r="G47">
        <v>1748.59</v>
      </c>
      <c r="H47">
        <v>2179.5100000000002</v>
      </c>
      <c r="I47">
        <v>1564.05</v>
      </c>
      <c r="J47">
        <v>2254.16</v>
      </c>
      <c r="K47">
        <v>3124</v>
      </c>
      <c r="L47">
        <v>391.38</v>
      </c>
      <c r="M47">
        <v>0</v>
      </c>
      <c r="N47">
        <v>0</v>
      </c>
      <c r="O47">
        <v>0</v>
      </c>
      <c r="P47">
        <v>0</v>
      </c>
    </row>
    <row r="48" spans="3:16" x14ac:dyDescent="0.3">
      <c r="C48" s="2">
        <v>40664</v>
      </c>
      <c r="D48">
        <v>13434.98</v>
      </c>
      <c r="E48">
        <v>3243.21</v>
      </c>
      <c r="F48">
        <v>3189.77</v>
      </c>
      <c r="G48">
        <v>2250.08</v>
      </c>
      <c r="H48">
        <v>1989.86</v>
      </c>
      <c r="I48">
        <v>2174.7800000000002</v>
      </c>
      <c r="J48">
        <v>2551.63</v>
      </c>
      <c r="K48">
        <v>169446.79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3:16" x14ac:dyDescent="0.3">
      <c r="C49" s="2">
        <v>40695</v>
      </c>
      <c r="D49">
        <v>47295.1</v>
      </c>
      <c r="E49">
        <v>3247.06</v>
      </c>
      <c r="F49">
        <v>1092.1400000000001</v>
      </c>
      <c r="G49">
        <v>1944.26</v>
      </c>
      <c r="H49">
        <v>3476.59</v>
      </c>
      <c r="I49">
        <v>7666.52</v>
      </c>
      <c r="J49">
        <v>677.01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3:16" x14ac:dyDescent="0.3">
      <c r="C50" s="2">
        <v>40725</v>
      </c>
      <c r="D50">
        <v>11881.66</v>
      </c>
      <c r="E50">
        <v>1585.92</v>
      </c>
      <c r="F50">
        <v>1085.06</v>
      </c>
      <c r="G50">
        <v>1000.82</v>
      </c>
      <c r="H50">
        <v>1888.88</v>
      </c>
      <c r="I50">
        <v>534.38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3:16" x14ac:dyDescent="0.3">
      <c r="C51" s="2">
        <v>40756</v>
      </c>
      <c r="D51">
        <v>3872.79</v>
      </c>
      <c r="E51">
        <v>2655.22</v>
      </c>
      <c r="F51">
        <v>3785.16</v>
      </c>
      <c r="G51">
        <v>4597.21</v>
      </c>
      <c r="H51">
        <v>1487.81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3:16" x14ac:dyDescent="0.3">
      <c r="C52" s="2">
        <v>40787</v>
      </c>
      <c r="D52">
        <v>8856.66</v>
      </c>
      <c r="E52">
        <v>2990.86</v>
      </c>
      <c r="F52">
        <v>2507.6999999999998</v>
      </c>
      <c r="G52">
        <v>864.27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3:16" x14ac:dyDescent="0.3">
      <c r="C53" s="2">
        <v>40817</v>
      </c>
      <c r="D53">
        <v>12871.12</v>
      </c>
      <c r="E53">
        <v>3506.8</v>
      </c>
      <c r="F53">
        <v>2355.69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3:16" x14ac:dyDescent="0.3">
      <c r="C54" s="2">
        <v>40848</v>
      </c>
      <c r="D54">
        <v>22912.19</v>
      </c>
      <c r="E54">
        <v>3599.09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3:16" x14ac:dyDescent="0.3">
      <c r="C55" s="2">
        <v>40878</v>
      </c>
      <c r="D55">
        <v>10054.719999999999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8" spans="3:16" x14ac:dyDescent="0.3">
      <c r="C58" s="1" t="s">
        <v>17</v>
      </c>
    </row>
    <row r="60" spans="3:16" s="1" customFormat="1" x14ac:dyDescent="0.3">
      <c r="C60" s="1" t="s">
        <v>1</v>
      </c>
      <c r="D60" s="1" t="s">
        <v>2</v>
      </c>
      <c r="E60" s="1" t="s">
        <v>3</v>
      </c>
      <c r="F60" s="1" t="s">
        <v>4</v>
      </c>
      <c r="G60" s="1" t="s">
        <v>5</v>
      </c>
      <c r="H60" s="1" t="s">
        <v>6</v>
      </c>
      <c r="I60" s="1" t="s">
        <v>7</v>
      </c>
      <c r="J60" s="1" t="s">
        <v>8</v>
      </c>
      <c r="K60" s="1" t="s">
        <v>9</v>
      </c>
      <c r="L60" s="1" t="s">
        <v>10</v>
      </c>
      <c r="M60" s="1" t="s">
        <v>11</v>
      </c>
      <c r="N60" s="1" t="s">
        <v>12</v>
      </c>
      <c r="O60" s="1" t="s">
        <v>13</v>
      </c>
      <c r="P60" s="1" t="s">
        <v>14</v>
      </c>
    </row>
    <row r="61" spans="3:16" x14ac:dyDescent="0.3">
      <c r="C61" s="2">
        <v>40513</v>
      </c>
      <c r="D61">
        <f>IFERROR(D43/D8," ")</f>
        <v>28.308179156908668</v>
      </c>
      <c r="E61">
        <f t="shared" ref="E61:P61" si="0">IFERROR(E43/E8," ")</f>
        <v>30.816821480406386</v>
      </c>
      <c r="F61">
        <f t="shared" si="0"/>
        <v>39.544784110535403</v>
      </c>
      <c r="G61">
        <f t="shared" si="0"/>
        <v>36.64043824701195</v>
      </c>
      <c r="H61">
        <f t="shared" si="0"/>
        <v>35.735515548281505</v>
      </c>
      <c r="I61">
        <f t="shared" si="0"/>
        <v>59.199200998751557</v>
      </c>
      <c r="J61">
        <f t="shared" si="0"/>
        <v>43.337717391304352</v>
      </c>
      <c r="K61">
        <f t="shared" si="0"/>
        <v>45.460448625180895</v>
      </c>
      <c r="L61">
        <f t="shared" si="0"/>
        <v>47.35180030257186</v>
      </c>
      <c r="M61">
        <f t="shared" si="0"/>
        <v>50.109536340852138</v>
      </c>
      <c r="N61">
        <f t="shared" si="0"/>
        <v>64.335721784776908</v>
      </c>
      <c r="O61">
        <f t="shared" si="0"/>
        <v>33.037823788546255</v>
      </c>
      <c r="P61">
        <f t="shared" si="0"/>
        <v>40.724784810126586</v>
      </c>
    </row>
    <row r="62" spans="3:16" x14ac:dyDescent="0.3">
      <c r="C62" s="2">
        <v>40544</v>
      </c>
      <c r="D62">
        <f t="shared" ref="D62:P73" si="1">IFERROR(D44/D9," ")</f>
        <v>180.89813528336381</v>
      </c>
      <c r="E62">
        <f t="shared" si="1"/>
        <v>30.979597315436241</v>
      </c>
      <c r="F62">
        <f t="shared" si="1"/>
        <v>24.161318681318679</v>
      </c>
      <c r="G62">
        <f t="shared" si="1"/>
        <v>78.37854304635762</v>
      </c>
      <c r="H62">
        <f t="shared" si="1"/>
        <v>28.866137339055797</v>
      </c>
      <c r="I62">
        <f t="shared" si="1"/>
        <v>26.082448979591835</v>
      </c>
      <c r="J62">
        <f t="shared" si="1"/>
        <v>26.15449438202247</v>
      </c>
      <c r="K62">
        <f t="shared" si="1"/>
        <v>28.68139534883721</v>
      </c>
      <c r="L62">
        <f t="shared" si="1"/>
        <v>29.317037037037036</v>
      </c>
      <c r="M62">
        <f t="shared" si="1"/>
        <v>47.329531914893622</v>
      </c>
      <c r="N62">
        <f t="shared" si="1"/>
        <v>39.898333333333333</v>
      </c>
      <c r="O62">
        <f t="shared" si="1"/>
        <v>38.253707865168536</v>
      </c>
      <c r="P62" t="str">
        <f t="shared" si="1"/>
        <v xml:space="preserve"> </v>
      </c>
    </row>
    <row r="63" spans="3:16" x14ac:dyDescent="0.3">
      <c r="C63" s="2">
        <v>40575</v>
      </c>
      <c r="D63">
        <f t="shared" si="1"/>
        <v>31.01107594936709</v>
      </c>
      <c r="E63">
        <f t="shared" si="1"/>
        <v>36.098602941176466</v>
      </c>
      <c r="F63">
        <f t="shared" si="1"/>
        <v>67.411769911504422</v>
      </c>
      <c r="G63">
        <f t="shared" si="1"/>
        <v>32.878086419753089</v>
      </c>
      <c r="H63">
        <f t="shared" si="1"/>
        <v>19.23560283687943</v>
      </c>
      <c r="I63">
        <f t="shared" si="1"/>
        <v>22.549029850746269</v>
      </c>
      <c r="J63">
        <f t="shared" si="1"/>
        <v>31.230564516129032</v>
      </c>
      <c r="K63">
        <f t="shared" si="1"/>
        <v>30.902560975609759</v>
      </c>
      <c r="L63">
        <f t="shared" si="1"/>
        <v>46.417573529411762</v>
      </c>
      <c r="M63">
        <f t="shared" si="1"/>
        <v>32.625080213903743</v>
      </c>
      <c r="N63">
        <f t="shared" si="1"/>
        <v>54.092999999999996</v>
      </c>
      <c r="O63" t="str">
        <f t="shared" si="1"/>
        <v xml:space="preserve"> </v>
      </c>
      <c r="P63" t="str">
        <f t="shared" si="1"/>
        <v xml:space="preserve"> </v>
      </c>
    </row>
    <row r="64" spans="3:16" x14ac:dyDescent="0.3">
      <c r="C64" s="2">
        <v>40603</v>
      </c>
      <c r="D64">
        <f t="shared" si="1"/>
        <v>18.336532846715329</v>
      </c>
      <c r="E64">
        <f t="shared" si="1"/>
        <v>44.186829268292676</v>
      </c>
      <c r="F64">
        <f t="shared" si="1"/>
        <v>39.583483146067415</v>
      </c>
      <c r="G64">
        <f t="shared" si="1"/>
        <v>31.006466666666668</v>
      </c>
      <c r="H64">
        <f t="shared" si="1"/>
        <v>34.680985915492954</v>
      </c>
      <c r="I64">
        <f t="shared" si="1"/>
        <v>24.134227642276425</v>
      </c>
      <c r="J64">
        <f t="shared" si="1"/>
        <v>33.75867924528302</v>
      </c>
      <c r="K64">
        <f t="shared" si="1"/>
        <v>44.986024844720497</v>
      </c>
      <c r="L64">
        <f t="shared" si="1"/>
        <v>39.560270270270266</v>
      </c>
      <c r="M64">
        <f t="shared" si="1"/>
        <v>47.284375000000004</v>
      </c>
      <c r="N64" t="str">
        <f t="shared" si="1"/>
        <v xml:space="preserve"> </v>
      </c>
      <c r="O64" t="str">
        <f t="shared" si="1"/>
        <v xml:space="preserve"> </v>
      </c>
      <c r="P64" t="str">
        <f t="shared" si="1"/>
        <v xml:space="preserve"> </v>
      </c>
    </row>
    <row r="65" spans="3:16" x14ac:dyDescent="0.3">
      <c r="C65" s="2">
        <v>40634</v>
      </c>
      <c r="D65">
        <f t="shared" si="1"/>
        <v>17.594818652849742</v>
      </c>
      <c r="E65">
        <f t="shared" si="1"/>
        <v>25.437339449541284</v>
      </c>
      <c r="F65">
        <f t="shared" si="1"/>
        <v>31.709139784946235</v>
      </c>
      <c r="G65">
        <f t="shared" si="1"/>
        <v>22.417820512820512</v>
      </c>
      <c r="H65">
        <f t="shared" si="1"/>
        <v>26.259156626506027</v>
      </c>
      <c r="I65">
        <f t="shared" si="1"/>
        <v>17.573595505617977</v>
      </c>
      <c r="J65">
        <f t="shared" si="1"/>
        <v>23.980425531914893</v>
      </c>
      <c r="K65">
        <f t="shared" si="1"/>
        <v>26.033333333333335</v>
      </c>
      <c r="L65">
        <f t="shared" si="1"/>
        <v>12.230625</v>
      </c>
      <c r="M65" t="str">
        <f t="shared" si="1"/>
        <v xml:space="preserve"> </v>
      </c>
      <c r="N65" t="str">
        <f t="shared" si="1"/>
        <v xml:space="preserve"> </v>
      </c>
      <c r="O65" t="str">
        <f t="shared" si="1"/>
        <v xml:space="preserve"> </v>
      </c>
      <c r="P65" t="str">
        <f t="shared" si="1"/>
        <v xml:space="preserve"> </v>
      </c>
    </row>
    <row r="66" spans="3:16" x14ac:dyDescent="0.3">
      <c r="C66" s="2">
        <v>40664</v>
      </c>
      <c r="D66">
        <f t="shared" si="1"/>
        <v>36.707595628415298</v>
      </c>
      <c r="E66">
        <f t="shared" si="1"/>
        <v>34.873225806451615</v>
      </c>
      <c r="F66">
        <f t="shared" si="1"/>
        <v>49.84015625</v>
      </c>
      <c r="G66">
        <f t="shared" si="1"/>
        <v>32.143999999999998</v>
      </c>
      <c r="H66">
        <f t="shared" si="1"/>
        <v>21.396344086021504</v>
      </c>
      <c r="I66">
        <f t="shared" si="1"/>
        <v>24.997471264367817</v>
      </c>
      <c r="J66">
        <f t="shared" si="1"/>
        <v>22.580796460176991</v>
      </c>
      <c r="K66">
        <f t="shared" si="1"/>
        <v>4579.6429729729734</v>
      </c>
      <c r="L66" t="str">
        <f t="shared" si="1"/>
        <v xml:space="preserve"> </v>
      </c>
      <c r="M66" t="str">
        <f t="shared" si="1"/>
        <v xml:space="preserve"> </v>
      </c>
      <c r="N66" t="str">
        <f t="shared" si="1"/>
        <v xml:space="preserve"> </v>
      </c>
      <c r="O66" t="str">
        <f t="shared" si="1"/>
        <v xml:space="preserve"> </v>
      </c>
      <c r="P66" t="str">
        <f t="shared" si="1"/>
        <v xml:space="preserve"> </v>
      </c>
    </row>
    <row r="67" spans="3:16" x14ac:dyDescent="0.3">
      <c r="C67" s="2">
        <v>40695</v>
      </c>
      <c r="D67">
        <f t="shared" si="1"/>
        <v>158.70838926174497</v>
      </c>
      <c r="E67">
        <f t="shared" si="1"/>
        <v>45.733239436619719</v>
      </c>
      <c r="F67">
        <f t="shared" si="1"/>
        <v>18.830000000000002</v>
      </c>
      <c r="G67">
        <f t="shared" si="1"/>
        <v>21.365494505494507</v>
      </c>
      <c r="H67">
        <f t="shared" si="1"/>
        <v>44.00746835443038</v>
      </c>
      <c r="I67">
        <f t="shared" si="1"/>
        <v>59.43038759689923</v>
      </c>
      <c r="J67">
        <f t="shared" si="1"/>
        <v>22.567</v>
      </c>
      <c r="K67" t="str">
        <f t="shared" si="1"/>
        <v xml:space="preserve"> </v>
      </c>
      <c r="L67" t="str">
        <f t="shared" si="1"/>
        <v xml:space="preserve"> </v>
      </c>
      <c r="M67" t="str">
        <f t="shared" si="1"/>
        <v xml:space="preserve"> </v>
      </c>
      <c r="N67" t="str">
        <f t="shared" si="1"/>
        <v xml:space="preserve"> </v>
      </c>
      <c r="O67" t="str">
        <f t="shared" si="1"/>
        <v xml:space="preserve"> </v>
      </c>
      <c r="P67" t="str">
        <f t="shared" si="1"/>
        <v xml:space="preserve"> </v>
      </c>
    </row>
    <row r="68" spans="3:16" x14ac:dyDescent="0.3">
      <c r="C68" s="2">
        <v>40725</v>
      </c>
      <c r="D68">
        <f t="shared" si="1"/>
        <v>50.560255319148936</v>
      </c>
      <c r="E68">
        <f t="shared" si="1"/>
        <v>31.718400000000003</v>
      </c>
      <c r="F68">
        <f t="shared" si="1"/>
        <v>18.390847457627117</v>
      </c>
      <c r="G68">
        <f t="shared" si="1"/>
        <v>17.558245614035087</v>
      </c>
      <c r="H68">
        <f t="shared" si="1"/>
        <v>22.486666666666668</v>
      </c>
      <c r="I68">
        <f t="shared" si="1"/>
        <v>21.3752</v>
      </c>
      <c r="J68" t="str">
        <f t="shared" si="1"/>
        <v xml:space="preserve"> </v>
      </c>
      <c r="K68" t="str">
        <f t="shared" si="1"/>
        <v xml:space="preserve"> </v>
      </c>
      <c r="L68" t="str">
        <f t="shared" si="1"/>
        <v xml:space="preserve"> </v>
      </c>
      <c r="M68" t="str">
        <f t="shared" si="1"/>
        <v xml:space="preserve"> </v>
      </c>
      <c r="N68" t="str">
        <f t="shared" si="1"/>
        <v xml:space="preserve"> </v>
      </c>
      <c r="O68" t="str">
        <f t="shared" si="1"/>
        <v xml:space="preserve"> </v>
      </c>
      <c r="P68" t="str">
        <f t="shared" si="1"/>
        <v xml:space="preserve"> </v>
      </c>
    </row>
    <row r="69" spans="3:16" x14ac:dyDescent="0.3">
      <c r="C69" s="2">
        <v>40756</v>
      </c>
      <c r="D69">
        <f t="shared" si="1"/>
        <v>19.077783251231526</v>
      </c>
      <c r="E69">
        <f t="shared" si="1"/>
        <v>45.00372881355932</v>
      </c>
      <c r="F69">
        <f t="shared" si="1"/>
        <v>54.073714285714281</v>
      </c>
      <c r="G69">
        <f t="shared" si="1"/>
        <v>67.606029411764709</v>
      </c>
      <c r="H69">
        <f t="shared" si="1"/>
        <v>57.223461538461535</v>
      </c>
      <c r="I69" t="str">
        <f t="shared" si="1"/>
        <v xml:space="preserve"> </v>
      </c>
      <c r="J69" t="str">
        <f t="shared" si="1"/>
        <v xml:space="preserve"> </v>
      </c>
      <c r="K69" t="str">
        <f t="shared" si="1"/>
        <v xml:space="preserve"> </v>
      </c>
      <c r="L69" t="str">
        <f t="shared" si="1"/>
        <v xml:space="preserve"> </v>
      </c>
      <c r="M69" t="str">
        <f t="shared" si="1"/>
        <v xml:space="preserve"> </v>
      </c>
      <c r="N69" t="str">
        <f t="shared" si="1"/>
        <v xml:space="preserve"> </v>
      </c>
      <c r="O69" t="str">
        <f t="shared" si="1"/>
        <v xml:space="preserve"> </v>
      </c>
      <c r="P69" t="str">
        <f t="shared" si="1"/>
        <v xml:space="preserve"> </v>
      </c>
    </row>
    <row r="70" spans="3:16" x14ac:dyDescent="0.3">
      <c r="C70" s="2">
        <v>40787</v>
      </c>
      <c r="D70">
        <f t="shared" si="1"/>
        <v>23.492466843501326</v>
      </c>
      <c r="E70">
        <f t="shared" si="1"/>
        <v>23.550078740157481</v>
      </c>
      <c r="F70">
        <f t="shared" si="1"/>
        <v>16.283766233766233</v>
      </c>
      <c r="G70">
        <f t="shared" si="1"/>
        <v>20.577857142857141</v>
      </c>
      <c r="H70" t="str">
        <f t="shared" si="1"/>
        <v xml:space="preserve"> </v>
      </c>
      <c r="I70" t="str">
        <f t="shared" si="1"/>
        <v xml:space="preserve"> </v>
      </c>
      <c r="J70" t="str">
        <f t="shared" si="1"/>
        <v xml:space="preserve"> </v>
      </c>
      <c r="K70" t="str">
        <f t="shared" si="1"/>
        <v xml:space="preserve"> </v>
      </c>
      <c r="L70" t="str">
        <f t="shared" si="1"/>
        <v xml:space="preserve"> </v>
      </c>
      <c r="M70" t="str">
        <f t="shared" si="1"/>
        <v xml:space="preserve"> </v>
      </c>
      <c r="N70" t="str">
        <f t="shared" si="1"/>
        <v xml:space="preserve"> </v>
      </c>
      <c r="O70" t="str">
        <f t="shared" si="1"/>
        <v xml:space="preserve"> </v>
      </c>
      <c r="P70" t="str">
        <f t="shared" si="1"/>
        <v xml:space="preserve"> </v>
      </c>
    </row>
    <row r="71" spans="3:16" x14ac:dyDescent="0.3">
      <c r="C71" s="2">
        <v>40817</v>
      </c>
      <c r="D71">
        <f t="shared" si="1"/>
        <v>28.288175824175827</v>
      </c>
      <c r="E71">
        <f t="shared" si="1"/>
        <v>20.998802395209584</v>
      </c>
      <c r="F71">
        <f t="shared" si="1"/>
        <v>41.327894736842104</v>
      </c>
      <c r="G71" t="str">
        <f t="shared" si="1"/>
        <v xml:space="preserve"> </v>
      </c>
      <c r="H71" t="str">
        <f t="shared" si="1"/>
        <v xml:space="preserve"> </v>
      </c>
      <c r="I71" t="str">
        <f t="shared" si="1"/>
        <v xml:space="preserve"> </v>
      </c>
      <c r="J71" t="str">
        <f t="shared" si="1"/>
        <v xml:space="preserve"> </v>
      </c>
      <c r="K71" t="str">
        <f t="shared" si="1"/>
        <v xml:space="preserve"> </v>
      </c>
      <c r="L71" t="str">
        <f t="shared" si="1"/>
        <v xml:space="preserve"> </v>
      </c>
      <c r="M71" t="str">
        <f t="shared" si="1"/>
        <v xml:space="preserve"> </v>
      </c>
      <c r="N71" t="str">
        <f t="shared" si="1"/>
        <v xml:space="preserve"> </v>
      </c>
      <c r="O71" t="str">
        <f t="shared" si="1"/>
        <v xml:space="preserve"> </v>
      </c>
      <c r="P71" t="str">
        <f t="shared" si="1"/>
        <v xml:space="preserve"> </v>
      </c>
    </row>
    <row r="72" spans="3:16" x14ac:dyDescent="0.3">
      <c r="C72" s="2">
        <v>40848</v>
      </c>
      <c r="D72">
        <f t="shared" si="1"/>
        <v>53.911035294117646</v>
      </c>
      <c r="E72">
        <f t="shared" si="1"/>
        <v>65.438000000000002</v>
      </c>
      <c r="F72" t="str">
        <f t="shared" si="1"/>
        <v xml:space="preserve"> </v>
      </c>
      <c r="G72" t="str">
        <f t="shared" si="1"/>
        <v xml:space="preserve"> </v>
      </c>
      <c r="H72" t="str">
        <f t="shared" si="1"/>
        <v xml:space="preserve"> </v>
      </c>
      <c r="I72" t="str">
        <f t="shared" si="1"/>
        <v xml:space="preserve"> </v>
      </c>
      <c r="J72" t="str">
        <f t="shared" si="1"/>
        <v xml:space="preserve"> </v>
      </c>
      <c r="K72" t="str">
        <f t="shared" si="1"/>
        <v xml:space="preserve"> </v>
      </c>
      <c r="L72" t="str">
        <f t="shared" si="1"/>
        <v xml:space="preserve"> </v>
      </c>
      <c r="M72" t="str">
        <f t="shared" si="1"/>
        <v xml:space="preserve"> </v>
      </c>
      <c r="N72" t="str">
        <f t="shared" si="1"/>
        <v xml:space="preserve"> </v>
      </c>
      <c r="O72" t="str">
        <f t="shared" si="1"/>
        <v xml:space="preserve"> </v>
      </c>
      <c r="P72" t="str">
        <f t="shared" si="1"/>
        <v xml:space="preserve"> </v>
      </c>
    </row>
    <row r="73" spans="3:16" x14ac:dyDescent="0.3">
      <c r="C73" s="2">
        <v>40878</v>
      </c>
      <c r="D73">
        <f t="shared" si="1"/>
        <v>223.43822222222221</v>
      </c>
      <c r="E73" t="str">
        <f t="shared" si="1"/>
        <v xml:space="preserve"> </v>
      </c>
      <c r="F73" t="str">
        <f t="shared" si="1"/>
        <v xml:space="preserve"> </v>
      </c>
      <c r="G73" t="str">
        <f t="shared" si="1"/>
        <v xml:space="preserve"> </v>
      </c>
      <c r="H73" t="str">
        <f t="shared" si="1"/>
        <v xml:space="preserve"> </v>
      </c>
      <c r="I73" t="str">
        <f t="shared" si="1"/>
        <v xml:space="preserve"> </v>
      </c>
      <c r="J73" t="str">
        <f t="shared" si="1"/>
        <v xml:space="preserve"> </v>
      </c>
      <c r="K73" t="str">
        <f t="shared" si="1"/>
        <v xml:space="preserve"> </v>
      </c>
      <c r="L73" t="str">
        <f t="shared" si="1"/>
        <v xml:space="preserve"> </v>
      </c>
      <c r="M73" t="str">
        <f t="shared" si="1"/>
        <v xml:space="preserve"> </v>
      </c>
      <c r="N73" t="str">
        <f t="shared" si="1"/>
        <v xml:space="preserve"> </v>
      </c>
      <c r="O73" t="str">
        <f t="shared" si="1"/>
        <v xml:space="preserve"> </v>
      </c>
      <c r="P73" t="str">
        <f t="shared" si="1"/>
        <v xml:space="preserve"> </v>
      </c>
    </row>
    <row r="75" spans="3:16" x14ac:dyDescent="0.3">
      <c r="C75" s="1" t="s">
        <v>18</v>
      </c>
    </row>
    <row r="77" spans="3:16" x14ac:dyDescent="0.3">
      <c r="C77" s="1" t="s">
        <v>1</v>
      </c>
      <c r="D77" s="1" t="s">
        <v>2</v>
      </c>
      <c r="E77" s="1" t="s">
        <v>3</v>
      </c>
      <c r="F77" s="1" t="s">
        <v>4</v>
      </c>
      <c r="G77" s="1" t="s">
        <v>5</v>
      </c>
      <c r="H77" s="1" t="s">
        <v>6</v>
      </c>
      <c r="I77" s="1" t="s">
        <v>7</v>
      </c>
      <c r="J77" s="1" t="s">
        <v>8</v>
      </c>
      <c r="K77" s="1" t="s">
        <v>9</v>
      </c>
      <c r="L77" s="1" t="s">
        <v>10</v>
      </c>
      <c r="M77" s="1" t="s">
        <v>11</v>
      </c>
      <c r="N77" s="1" t="s">
        <v>12</v>
      </c>
      <c r="O77" s="1" t="s">
        <v>13</v>
      </c>
      <c r="P77" s="1" t="s">
        <v>14</v>
      </c>
    </row>
    <row r="78" spans="3:16" x14ac:dyDescent="0.3">
      <c r="C78" s="2">
        <v>40513</v>
      </c>
      <c r="D78">
        <f>IFERROR(D43/D25," ")</f>
        <v>51.002500000000005</v>
      </c>
      <c r="E78">
        <f t="shared" ref="E78:P78" si="2">IFERROR(E43/E25," ")</f>
        <v>58.654116022099451</v>
      </c>
      <c r="F78">
        <f t="shared" si="2"/>
        <v>72.228485804416408</v>
      </c>
      <c r="G78">
        <f t="shared" si="2"/>
        <v>75.177792915531342</v>
      </c>
      <c r="H78">
        <f t="shared" si="2"/>
        <v>64.030498533724341</v>
      </c>
      <c r="I78">
        <f t="shared" si="2"/>
        <v>126.1131914893617</v>
      </c>
      <c r="J78">
        <f t="shared" si="2"/>
        <v>88.601555555555564</v>
      </c>
      <c r="K78">
        <f t="shared" si="2"/>
        <v>93.491577380952378</v>
      </c>
      <c r="L78">
        <f t="shared" si="2"/>
        <v>93.153392857142862</v>
      </c>
      <c r="M78">
        <f t="shared" si="2"/>
        <v>106.91820855614974</v>
      </c>
      <c r="N78">
        <f t="shared" si="2"/>
        <v>138.48536723163841</v>
      </c>
      <c r="O78">
        <f t="shared" si="2"/>
        <v>79.109556962025323</v>
      </c>
      <c r="P78">
        <f t="shared" si="2"/>
        <v>61.870346153846157</v>
      </c>
    </row>
    <row r="79" spans="3:16" x14ac:dyDescent="0.3">
      <c r="C79" s="2">
        <v>40544</v>
      </c>
      <c r="D79">
        <f t="shared" ref="D79:P90" si="3">IFERROR(D44/D26," ")</f>
        <v>235.03866983372922</v>
      </c>
      <c r="E79">
        <f t="shared" si="3"/>
        <v>45.702574257425745</v>
      </c>
      <c r="F79">
        <f t="shared" si="3"/>
        <v>36.952605042016806</v>
      </c>
      <c r="G79">
        <f t="shared" si="3"/>
        <v>116.03098039215686</v>
      </c>
      <c r="H79">
        <f t="shared" si="3"/>
        <v>48.737753623188411</v>
      </c>
      <c r="I79">
        <f t="shared" si="3"/>
        <v>40.572698412698415</v>
      </c>
      <c r="J79">
        <f t="shared" si="3"/>
        <v>42.322727272727271</v>
      </c>
      <c r="K79">
        <f t="shared" si="3"/>
        <v>45.677777777777777</v>
      </c>
      <c r="L79">
        <f t="shared" si="3"/>
        <v>42.297099236641223</v>
      </c>
      <c r="M79">
        <f t="shared" si="3"/>
        <v>76.181095890410958</v>
      </c>
      <c r="N79">
        <f t="shared" si="3"/>
        <v>72.589225806451608</v>
      </c>
      <c r="O79">
        <f t="shared" si="3"/>
        <v>54.040952380952383</v>
      </c>
      <c r="P79" t="str">
        <f t="shared" si="3"/>
        <v xml:space="preserve"> </v>
      </c>
    </row>
    <row r="80" spans="3:16" x14ac:dyDescent="0.3">
      <c r="C80" s="2">
        <v>40575</v>
      </c>
      <c r="D80">
        <f t="shared" si="3"/>
        <v>38.682236842105262</v>
      </c>
      <c r="E80">
        <f t="shared" si="3"/>
        <v>52.227765957446806</v>
      </c>
      <c r="F80">
        <f t="shared" si="3"/>
        <v>104.34972602739725</v>
      </c>
      <c r="G80">
        <f t="shared" si="3"/>
        <v>50.247641509433961</v>
      </c>
      <c r="H80">
        <f t="shared" si="3"/>
        <v>26.590392156862745</v>
      </c>
      <c r="I80">
        <f t="shared" si="3"/>
        <v>32.144361702127661</v>
      </c>
      <c r="J80">
        <f t="shared" si="3"/>
        <v>39.923608247422685</v>
      </c>
      <c r="K80">
        <f t="shared" si="3"/>
        <v>47.364672897196265</v>
      </c>
      <c r="L80">
        <f t="shared" si="3"/>
        <v>64.416224489795923</v>
      </c>
      <c r="M80">
        <f t="shared" si="3"/>
        <v>51.267983193277317</v>
      </c>
      <c r="N80">
        <f t="shared" si="3"/>
        <v>61.820571428571419</v>
      </c>
      <c r="O80" t="str">
        <f t="shared" si="3"/>
        <v xml:space="preserve"> </v>
      </c>
      <c r="P80" t="str">
        <f t="shared" si="3"/>
        <v xml:space="preserve"> </v>
      </c>
    </row>
    <row r="81" spans="3:16" x14ac:dyDescent="0.3">
      <c r="C81" s="2">
        <v>40603</v>
      </c>
      <c r="D81">
        <f t="shared" si="3"/>
        <v>22.837318181818183</v>
      </c>
      <c r="E81">
        <f t="shared" si="3"/>
        <v>64.702142857142846</v>
      </c>
      <c r="F81">
        <f t="shared" si="3"/>
        <v>62.909464285714286</v>
      </c>
      <c r="G81">
        <f t="shared" si="3"/>
        <v>48.447604166666672</v>
      </c>
      <c r="H81">
        <f t="shared" si="3"/>
        <v>48.281372549019608</v>
      </c>
      <c r="I81">
        <f t="shared" si="3"/>
        <v>38.057820512820513</v>
      </c>
      <c r="J81">
        <f t="shared" si="3"/>
        <v>46.272672413793103</v>
      </c>
      <c r="K81">
        <f t="shared" si="3"/>
        <v>68.978571428571428</v>
      </c>
      <c r="L81">
        <f t="shared" si="3"/>
        <v>69.152598425196842</v>
      </c>
      <c r="M81">
        <f t="shared" si="3"/>
        <v>58.196153846153848</v>
      </c>
      <c r="N81" t="str">
        <f t="shared" si="3"/>
        <v xml:space="preserve"> </v>
      </c>
      <c r="O81" t="str">
        <f t="shared" si="3"/>
        <v xml:space="preserve"> </v>
      </c>
      <c r="P81" t="str">
        <f t="shared" si="3"/>
        <v xml:space="preserve"> </v>
      </c>
    </row>
    <row r="82" spans="3:16" x14ac:dyDescent="0.3">
      <c r="C82" s="2">
        <v>40634</v>
      </c>
      <c r="D82">
        <f t="shared" si="3"/>
        <v>22.714381270903012</v>
      </c>
      <c r="E82">
        <f t="shared" si="3"/>
        <v>40.774558823529411</v>
      </c>
      <c r="F82">
        <f t="shared" si="3"/>
        <v>44.681060606060605</v>
      </c>
      <c r="G82">
        <f t="shared" si="3"/>
        <v>27.755396825396826</v>
      </c>
      <c r="H82">
        <f t="shared" si="3"/>
        <v>35.153387096774196</v>
      </c>
      <c r="I82">
        <f t="shared" si="3"/>
        <v>22.028873239436621</v>
      </c>
      <c r="J82">
        <f t="shared" si="3"/>
        <v>32.668985507246376</v>
      </c>
      <c r="K82">
        <f t="shared" si="3"/>
        <v>40.051282051282051</v>
      </c>
      <c r="L82">
        <f t="shared" si="3"/>
        <v>15.655200000000001</v>
      </c>
      <c r="M82" t="str">
        <f t="shared" si="3"/>
        <v xml:space="preserve"> </v>
      </c>
      <c r="N82" t="str">
        <f t="shared" si="3"/>
        <v xml:space="preserve"> </v>
      </c>
      <c r="O82" t="str">
        <f t="shared" si="3"/>
        <v xml:space="preserve"> </v>
      </c>
      <c r="P82" t="str">
        <f t="shared" si="3"/>
        <v xml:space="preserve"> </v>
      </c>
    </row>
    <row r="83" spans="3:16" x14ac:dyDescent="0.3">
      <c r="C83" s="2">
        <v>40664</v>
      </c>
      <c r="D83">
        <f t="shared" si="3"/>
        <v>48.154050179211467</v>
      </c>
      <c r="E83">
        <f t="shared" si="3"/>
        <v>49.139545454545456</v>
      </c>
      <c r="F83">
        <f t="shared" si="3"/>
        <v>66.453541666666666</v>
      </c>
      <c r="G83">
        <f t="shared" si="3"/>
        <v>46.876666666666665</v>
      </c>
      <c r="H83">
        <f t="shared" si="3"/>
        <v>33.164333333333332</v>
      </c>
      <c r="I83">
        <f t="shared" si="3"/>
        <v>31.982058823529414</v>
      </c>
      <c r="J83">
        <f t="shared" si="3"/>
        <v>34.481486486486489</v>
      </c>
      <c r="K83">
        <f t="shared" si="3"/>
        <v>5842.9927586206895</v>
      </c>
      <c r="L83" t="str">
        <f t="shared" si="3"/>
        <v xml:space="preserve"> </v>
      </c>
      <c r="M83" t="str">
        <f t="shared" si="3"/>
        <v xml:space="preserve"> </v>
      </c>
      <c r="N83" t="str">
        <f t="shared" si="3"/>
        <v xml:space="preserve"> </v>
      </c>
      <c r="O83" t="str">
        <f t="shared" si="3"/>
        <v xml:space="preserve"> </v>
      </c>
      <c r="P83" t="str">
        <f t="shared" si="3"/>
        <v xml:space="preserve"> </v>
      </c>
    </row>
    <row r="84" spans="3:16" x14ac:dyDescent="0.3">
      <c r="C84" s="2">
        <v>40695</v>
      </c>
      <c r="D84">
        <f t="shared" si="3"/>
        <v>201.25574468085105</v>
      </c>
      <c r="E84">
        <f t="shared" si="3"/>
        <v>66.266530612244892</v>
      </c>
      <c r="F84">
        <f t="shared" si="3"/>
        <v>24.821363636363639</v>
      </c>
      <c r="G84">
        <f t="shared" si="3"/>
        <v>30.3790625</v>
      </c>
      <c r="H84">
        <f t="shared" si="3"/>
        <v>59.941206896551726</v>
      </c>
      <c r="I84">
        <f t="shared" si="3"/>
        <v>97.044556962025325</v>
      </c>
      <c r="J84">
        <f t="shared" si="3"/>
        <v>28.208749999999998</v>
      </c>
      <c r="K84" t="str">
        <f t="shared" si="3"/>
        <v xml:space="preserve"> </v>
      </c>
      <c r="L84" t="str">
        <f t="shared" si="3"/>
        <v xml:space="preserve"> </v>
      </c>
      <c r="M84" t="str">
        <f t="shared" si="3"/>
        <v xml:space="preserve"> </v>
      </c>
      <c r="N84" t="str">
        <f t="shared" si="3"/>
        <v xml:space="preserve"> </v>
      </c>
      <c r="O84" t="str">
        <f t="shared" si="3"/>
        <v xml:space="preserve"> </v>
      </c>
      <c r="P84" t="str">
        <f t="shared" si="3"/>
        <v xml:space="preserve"> </v>
      </c>
    </row>
    <row r="85" spans="3:16" x14ac:dyDescent="0.3">
      <c r="C85" s="2">
        <v>40725</v>
      </c>
      <c r="D85">
        <f t="shared" si="3"/>
        <v>62.207643979057593</v>
      </c>
      <c r="E85">
        <f t="shared" si="3"/>
        <v>39.648000000000003</v>
      </c>
      <c r="F85">
        <f t="shared" si="3"/>
        <v>27.82205128205128</v>
      </c>
      <c r="G85">
        <f t="shared" si="3"/>
        <v>22.745909090909091</v>
      </c>
      <c r="H85">
        <f t="shared" si="3"/>
        <v>36.324615384615385</v>
      </c>
      <c r="I85">
        <f t="shared" si="3"/>
        <v>24.29</v>
      </c>
      <c r="J85" t="str">
        <f t="shared" si="3"/>
        <v xml:space="preserve"> </v>
      </c>
      <c r="K85" t="str">
        <f t="shared" si="3"/>
        <v xml:space="preserve"> </v>
      </c>
      <c r="L85" t="str">
        <f t="shared" si="3"/>
        <v xml:space="preserve"> </v>
      </c>
      <c r="M85" t="str">
        <f t="shared" si="3"/>
        <v xml:space="preserve"> </v>
      </c>
      <c r="N85" t="str">
        <f t="shared" si="3"/>
        <v xml:space="preserve"> </v>
      </c>
      <c r="O85" t="str">
        <f t="shared" si="3"/>
        <v xml:space="preserve"> </v>
      </c>
      <c r="P85" t="str">
        <f t="shared" si="3"/>
        <v xml:space="preserve"> </v>
      </c>
    </row>
    <row r="86" spans="3:16" x14ac:dyDescent="0.3">
      <c r="C86" s="2">
        <v>40756</v>
      </c>
      <c r="D86">
        <f t="shared" si="3"/>
        <v>23.190359281437125</v>
      </c>
      <c r="E86">
        <f t="shared" si="3"/>
        <v>63.219523809523807</v>
      </c>
      <c r="F86">
        <f t="shared" si="3"/>
        <v>90.122857142857143</v>
      </c>
      <c r="G86">
        <f t="shared" si="3"/>
        <v>109.45738095238096</v>
      </c>
      <c r="H86">
        <f t="shared" si="3"/>
        <v>64.687391304347827</v>
      </c>
      <c r="I86" t="str">
        <f t="shared" si="3"/>
        <v xml:space="preserve"> </v>
      </c>
      <c r="J86" t="str">
        <f t="shared" si="3"/>
        <v xml:space="preserve"> </v>
      </c>
      <c r="K86" t="str">
        <f t="shared" si="3"/>
        <v xml:space="preserve"> </v>
      </c>
      <c r="L86" t="str">
        <f t="shared" si="3"/>
        <v xml:space="preserve"> </v>
      </c>
      <c r="M86" t="str">
        <f t="shared" si="3"/>
        <v xml:space="preserve"> </v>
      </c>
      <c r="N86" t="str">
        <f t="shared" si="3"/>
        <v xml:space="preserve"> </v>
      </c>
      <c r="O86" t="str">
        <f t="shared" si="3"/>
        <v xml:space="preserve"> </v>
      </c>
      <c r="P86" t="str">
        <f t="shared" si="3"/>
        <v xml:space="preserve"> </v>
      </c>
    </row>
    <row r="87" spans="3:16" x14ac:dyDescent="0.3">
      <c r="C87" s="2">
        <v>40787</v>
      </c>
      <c r="D87">
        <f t="shared" si="3"/>
        <v>29.7203355704698</v>
      </c>
      <c r="E87">
        <f t="shared" si="3"/>
        <v>33.605168539325845</v>
      </c>
      <c r="F87">
        <f t="shared" si="3"/>
        <v>25.852577319587628</v>
      </c>
      <c r="G87">
        <f t="shared" si="3"/>
        <v>24.0075</v>
      </c>
      <c r="H87" t="str">
        <f t="shared" si="3"/>
        <v xml:space="preserve"> </v>
      </c>
      <c r="I87" t="str">
        <f t="shared" si="3"/>
        <v xml:space="preserve"> </v>
      </c>
      <c r="J87" t="str">
        <f t="shared" si="3"/>
        <v xml:space="preserve"> </v>
      </c>
      <c r="K87" t="str">
        <f t="shared" si="3"/>
        <v xml:space="preserve"> </v>
      </c>
      <c r="L87" t="str">
        <f t="shared" si="3"/>
        <v xml:space="preserve"> </v>
      </c>
      <c r="M87" t="str">
        <f t="shared" si="3"/>
        <v xml:space="preserve"> </v>
      </c>
      <c r="N87" t="str">
        <f t="shared" si="3"/>
        <v xml:space="preserve"> </v>
      </c>
      <c r="O87" t="str">
        <f t="shared" si="3"/>
        <v xml:space="preserve"> </v>
      </c>
      <c r="P87" t="str">
        <f t="shared" si="3"/>
        <v xml:space="preserve"> </v>
      </c>
    </row>
    <row r="88" spans="3:16" x14ac:dyDescent="0.3">
      <c r="C88" s="2">
        <v>40817</v>
      </c>
      <c r="D88">
        <f t="shared" si="3"/>
        <v>36.565681818181822</v>
      </c>
      <c r="E88">
        <f t="shared" si="3"/>
        <v>37.707526881720433</v>
      </c>
      <c r="F88">
        <f t="shared" si="3"/>
        <v>51.210652173913047</v>
      </c>
      <c r="G88" t="str">
        <f t="shared" si="3"/>
        <v xml:space="preserve"> </v>
      </c>
      <c r="H88" t="str">
        <f t="shared" si="3"/>
        <v xml:space="preserve"> </v>
      </c>
      <c r="I88" t="str">
        <f t="shared" si="3"/>
        <v xml:space="preserve"> </v>
      </c>
      <c r="J88" t="str">
        <f t="shared" si="3"/>
        <v xml:space="preserve"> </v>
      </c>
      <c r="K88" t="str">
        <f t="shared" si="3"/>
        <v xml:space="preserve"> </v>
      </c>
      <c r="L88" t="str">
        <f t="shared" si="3"/>
        <v xml:space="preserve"> </v>
      </c>
      <c r="M88" t="str">
        <f t="shared" si="3"/>
        <v xml:space="preserve"> </v>
      </c>
      <c r="N88" t="str">
        <f t="shared" si="3"/>
        <v xml:space="preserve"> </v>
      </c>
      <c r="O88" t="str">
        <f t="shared" si="3"/>
        <v xml:space="preserve"> </v>
      </c>
      <c r="P88" t="str">
        <f t="shared" si="3"/>
        <v xml:space="preserve"> </v>
      </c>
    </row>
    <row r="89" spans="3:16" x14ac:dyDescent="0.3">
      <c r="C89" s="2">
        <v>40848</v>
      </c>
      <c r="D89">
        <f t="shared" si="3"/>
        <v>71.37753894080997</v>
      </c>
      <c r="E89">
        <f t="shared" si="3"/>
        <v>83.699767441860473</v>
      </c>
      <c r="F89" t="str">
        <f t="shared" si="3"/>
        <v xml:space="preserve"> </v>
      </c>
      <c r="G89" t="str">
        <f t="shared" si="3"/>
        <v xml:space="preserve"> </v>
      </c>
      <c r="H89" t="str">
        <f t="shared" si="3"/>
        <v xml:space="preserve"> </v>
      </c>
      <c r="I89" t="str">
        <f t="shared" si="3"/>
        <v xml:space="preserve"> </v>
      </c>
      <c r="J89" t="str">
        <f t="shared" si="3"/>
        <v xml:space="preserve"> </v>
      </c>
      <c r="K89" t="str">
        <f t="shared" si="3"/>
        <v xml:space="preserve"> </v>
      </c>
      <c r="L89" t="str">
        <f t="shared" si="3"/>
        <v xml:space="preserve"> </v>
      </c>
      <c r="M89" t="str">
        <f t="shared" si="3"/>
        <v xml:space="preserve"> </v>
      </c>
      <c r="N89" t="str">
        <f t="shared" si="3"/>
        <v xml:space="preserve"> </v>
      </c>
      <c r="O89" t="str">
        <f t="shared" si="3"/>
        <v xml:space="preserve"> </v>
      </c>
      <c r="P89" t="str">
        <f t="shared" si="3"/>
        <v xml:space="preserve"> </v>
      </c>
    </row>
    <row r="90" spans="3:16" x14ac:dyDescent="0.3">
      <c r="C90" s="2">
        <v>40878</v>
      </c>
      <c r="D90">
        <f t="shared" si="3"/>
        <v>245.23707317073169</v>
      </c>
      <c r="E90" t="str">
        <f t="shared" si="3"/>
        <v xml:space="preserve"> </v>
      </c>
      <c r="F90" t="str">
        <f t="shared" si="3"/>
        <v xml:space="preserve"> </v>
      </c>
      <c r="G90" t="str">
        <f t="shared" si="3"/>
        <v xml:space="preserve"> </v>
      </c>
      <c r="H90" t="str">
        <f t="shared" si="3"/>
        <v xml:space="preserve"> </v>
      </c>
      <c r="I90" t="str">
        <f t="shared" si="3"/>
        <v xml:space="preserve"> </v>
      </c>
      <c r="J90" t="str">
        <f t="shared" si="3"/>
        <v xml:space="preserve"> </v>
      </c>
      <c r="K90" t="str">
        <f t="shared" si="3"/>
        <v xml:space="preserve"> </v>
      </c>
      <c r="L90" t="str">
        <f t="shared" si="3"/>
        <v xml:space="preserve"> </v>
      </c>
      <c r="M90" t="str">
        <f t="shared" si="3"/>
        <v xml:space="preserve"> </v>
      </c>
      <c r="N90" t="str">
        <f t="shared" si="3"/>
        <v xml:space="preserve"> </v>
      </c>
      <c r="O90" t="str">
        <f t="shared" si="3"/>
        <v xml:space="preserve"> </v>
      </c>
      <c r="P90" t="str">
        <f t="shared" si="3"/>
        <v xml:space="preserve"> </v>
      </c>
    </row>
    <row r="93" spans="3:16" x14ac:dyDescent="0.3">
      <c r="C93" s="1" t="s">
        <v>19</v>
      </c>
    </row>
    <row r="96" spans="3:16" x14ac:dyDescent="0.3">
      <c r="C96" s="1" t="s">
        <v>1</v>
      </c>
      <c r="D96" s="1" t="s">
        <v>2</v>
      </c>
      <c r="E96" s="1" t="s">
        <v>3</v>
      </c>
      <c r="F96" s="1" t="s">
        <v>4</v>
      </c>
      <c r="G96" s="1" t="s">
        <v>5</v>
      </c>
      <c r="H96" s="1" t="s">
        <v>6</v>
      </c>
      <c r="I96" s="1" t="s">
        <v>7</v>
      </c>
      <c r="J96" s="1" t="s">
        <v>8</v>
      </c>
      <c r="K96" s="1" t="s">
        <v>9</v>
      </c>
      <c r="L96" s="1" t="s">
        <v>10</v>
      </c>
      <c r="M96" s="1" t="s">
        <v>11</v>
      </c>
      <c r="N96" s="1" t="s">
        <v>12</v>
      </c>
      <c r="O96" s="1" t="s">
        <v>13</v>
      </c>
      <c r="P96" s="1" t="s">
        <v>14</v>
      </c>
    </row>
    <row r="97" spans="3:16" x14ac:dyDescent="0.3">
      <c r="C97" s="2">
        <v>40513</v>
      </c>
      <c r="D97" s="3">
        <f>D25/D25</f>
        <v>1</v>
      </c>
      <c r="E97" s="3">
        <f>E25/$D25</f>
        <v>0.38185654008438819</v>
      </c>
      <c r="F97" s="3">
        <f t="shared" ref="F97:P97" si="4">F25/$D25</f>
        <v>0.33438818565400846</v>
      </c>
      <c r="G97" s="3">
        <f t="shared" si="4"/>
        <v>0.3871308016877637</v>
      </c>
      <c r="H97" s="3">
        <f t="shared" si="4"/>
        <v>0.35970464135021096</v>
      </c>
      <c r="I97" s="3">
        <f t="shared" si="4"/>
        <v>0.39662447257383965</v>
      </c>
      <c r="J97" s="3">
        <f t="shared" si="4"/>
        <v>0.379746835443038</v>
      </c>
      <c r="K97" s="3">
        <f t="shared" si="4"/>
        <v>0.35443037974683544</v>
      </c>
      <c r="L97" s="3">
        <f t="shared" si="4"/>
        <v>0.35443037974683544</v>
      </c>
      <c r="M97" s="3">
        <f t="shared" si="4"/>
        <v>0.39451476793248946</v>
      </c>
      <c r="N97" s="3">
        <f t="shared" si="4"/>
        <v>0.37341772151898733</v>
      </c>
      <c r="O97" s="3">
        <f t="shared" si="4"/>
        <v>0.5</v>
      </c>
      <c r="P97" s="3">
        <f t="shared" si="4"/>
        <v>0.27426160337552741</v>
      </c>
    </row>
    <row r="98" spans="3:16" x14ac:dyDescent="0.3">
      <c r="C98" s="2">
        <v>40544</v>
      </c>
      <c r="D98" s="3">
        <f t="shared" ref="D98:D109" si="5">D26/D26</f>
        <v>1</v>
      </c>
      <c r="E98" s="3">
        <f t="shared" ref="E98:P109" si="6">E26/$D26</f>
        <v>0.23990498812351543</v>
      </c>
      <c r="F98" s="3">
        <f t="shared" si="6"/>
        <v>0.28266033254156769</v>
      </c>
      <c r="G98" s="3">
        <f t="shared" si="6"/>
        <v>0.24228028503562946</v>
      </c>
      <c r="H98" s="3">
        <f t="shared" si="6"/>
        <v>0.32779097387173395</v>
      </c>
      <c r="I98" s="3">
        <f t="shared" si="6"/>
        <v>0.29928741092636579</v>
      </c>
      <c r="J98" s="3">
        <f t="shared" si="6"/>
        <v>0.26128266033254155</v>
      </c>
      <c r="K98" s="3">
        <f t="shared" si="6"/>
        <v>0.25653206650831356</v>
      </c>
      <c r="L98" s="3">
        <f t="shared" si="6"/>
        <v>0.31116389548693585</v>
      </c>
      <c r="M98" s="3">
        <f t="shared" si="6"/>
        <v>0.34679334916864607</v>
      </c>
      <c r="N98" s="3">
        <f t="shared" si="6"/>
        <v>0.36817102137767221</v>
      </c>
      <c r="O98" s="3">
        <f t="shared" si="6"/>
        <v>0.1496437054631829</v>
      </c>
      <c r="P98" s="3">
        <f t="shared" si="6"/>
        <v>0</v>
      </c>
    </row>
    <row r="99" spans="3:16" x14ac:dyDescent="0.3">
      <c r="C99" s="2">
        <v>40575</v>
      </c>
      <c r="D99" s="3">
        <f t="shared" si="5"/>
        <v>1</v>
      </c>
      <c r="E99" s="3">
        <f t="shared" si="6"/>
        <v>0.24736842105263157</v>
      </c>
      <c r="F99" s="3">
        <f t="shared" si="6"/>
        <v>0.19210526315789472</v>
      </c>
      <c r="G99" s="3">
        <f t="shared" si="6"/>
        <v>0.27894736842105261</v>
      </c>
      <c r="H99" s="3">
        <f t="shared" si="6"/>
        <v>0.26842105263157895</v>
      </c>
      <c r="I99" s="3">
        <f t="shared" si="6"/>
        <v>0.24736842105263157</v>
      </c>
      <c r="J99" s="3">
        <f t="shared" si="6"/>
        <v>0.25526315789473686</v>
      </c>
      <c r="K99" s="3">
        <f t="shared" si="6"/>
        <v>0.28157894736842104</v>
      </c>
      <c r="L99" s="3">
        <f t="shared" si="6"/>
        <v>0.25789473684210529</v>
      </c>
      <c r="M99" s="3">
        <f t="shared" si="6"/>
        <v>0.31315789473684208</v>
      </c>
      <c r="N99" s="3">
        <f t="shared" si="6"/>
        <v>9.2105263157894732E-2</v>
      </c>
      <c r="O99" s="3">
        <f t="shared" si="6"/>
        <v>0</v>
      </c>
      <c r="P99" s="3">
        <f t="shared" si="6"/>
        <v>0</v>
      </c>
    </row>
    <row r="100" spans="3:16" x14ac:dyDescent="0.3">
      <c r="C100" s="2">
        <v>40603</v>
      </c>
      <c r="D100" s="3">
        <f t="shared" si="5"/>
        <v>1</v>
      </c>
      <c r="E100" s="3">
        <f t="shared" si="6"/>
        <v>0.19090909090909092</v>
      </c>
      <c r="F100" s="3">
        <f t="shared" si="6"/>
        <v>0.25454545454545452</v>
      </c>
      <c r="G100" s="3">
        <f t="shared" si="6"/>
        <v>0.21818181818181817</v>
      </c>
      <c r="H100" s="3">
        <f t="shared" si="6"/>
        <v>0.23181818181818181</v>
      </c>
      <c r="I100" s="3">
        <f t="shared" si="6"/>
        <v>0.17727272727272728</v>
      </c>
      <c r="J100" s="3">
        <f t="shared" si="6"/>
        <v>0.26363636363636361</v>
      </c>
      <c r="K100" s="3">
        <f t="shared" si="6"/>
        <v>0.23863636363636365</v>
      </c>
      <c r="L100" s="3">
        <f t="shared" si="6"/>
        <v>0.28863636363636364</v>
      </c>
      <c r="M100" s="3">
        <f t="shared" si="6"/>
        <v>8.8636363636363638E-2</v>
      </c>
      <c r="N100" s="3">
        <f t="shared" si="6"/>
        <v>0</v>
      </c>
      <c r="O100" s="3">
        <f t="shared" si="6"/>
        <v>0</v>
      </c>
      <c r="P100" s="3">
        <f t="shared" si="6"/>
        <v>0</v>
      </c>
    </row>
    <row r="101" spans="3:16" x14ac:dyDescent="0.3">
      <c r="C101" s="2">
        <v>40634</v>
      </c>
      <c r="D101" s="3">
        <f t="shared" si="5"/>
        <v>1</v>
      </c>
      <c r="E101" s="3">
        <f t="shared" si="6"/>
        <v>0.22742474916387959</v>
      </c>
      <c r="F101" s="3">
        <f t="shared" si="6"/>
        <v>0.22073578595317725</v>
      </c>
      <c r="G101" s="3">
        <f t="shared" si="6"/>
        <v>0.21070234113712374</v>
      </c>
      <c r="H101" s="3">
        <f t="shared" si="6"/>
        <v>0.20735785953177258</v>
      </c>
      <c r="I101" s="3">
        <f t="shared" si="6"/>
        <v>0.23745819397993312</v>
      </c>
      <c r="J101" s="3">
        <f t="shared" si="6"/>
        <v>0.23076923076923078</v>
      </c>
      <c r="K101" s="3">
        <f t="shared" si="6"/>
        <v>0.2608695652173913</v>
      </c>
      <c r="L101" s="3">
        <f t="shared" si="6"/>
        <v>8.3612040133779264E-2</v>
      </c>
      <c r="M101" s="3">
        <f t="shared" si="6"/>
        <v>0</v>
      </c>
      <c r="N101" s="3">
        <f t="shared" si="6"/>
        <v>0</v>
      </c>
      <c r="O101" s="3">
        <f t="shared" si="6"/>
        <v>0</v>
      </c>
      <c r="P101" s="3">
        <f t="shared" si="6"/>
        <v>0</v>
      </c>
    </row>
    <row r="102" spans="3:16" x14ac:dyDescent="0.3">
      <c r="C102" s="2">
        <v>40664</v>
      </c>
      <c r="D102" s="3">
        <f t="shared" si="5"/>
        <v>1</v>
      </c>
      <c r="E102" s="3">
        <f t="shared" si="6"/>
        <v>0.23655913978494625</v>
      </c>
      <c r="F102" s="3">
        <f t="shared" si="6"/>
        <v>0.17204301075268819</v>
      </c>
      <c r="G102" s="3">
        <f t="shared" si="6"/>
        <v>0.17204301075268819</v>
      </c>
      <c r="H102" s="3">
        <f t="shared" si="6"/>
        <v>0.21505376344086022</v>
      </c>
      <c r="I102" s="3">
        <f t="shared" si="6"/>
        <v>0.24372759856630824</v>
      </c>
      <c r="J102" s="3">
        <f t="shared" si="6"/>
        <v>0.26523297491039427</v>
      </c>
      <c r="K102" s="3">
        <f t="shared" si="6"/>
        <v>0.1039426523297491</v>
      </c>
      <c r="L102" s="3">
        <f t="shared" si="6"/>
        <v>0</v>
      </c>
      <c r="M102" s="3">
        <f t="shared" si="6"/>
        <v>0</v>
      </c>
      <c r="N102" s="3">
        <f t="shared" si="6"/>
        <v>0</v>
      </c>
      <c r="O102" s="3">
        <f t="shared" si="6"/>
        <v>0</v>
      </c>
      <c r="P102" s="3">
        <f t="shared" si="6"/>
        <v>0</v>
      </c>
    </row>
    <row r="103" spans="3:16" x14ac:dyDescent="0.3">
      <c r="C103" s="2">
        <v>40695</v>
      </c>
      <c r="D103" s="3">
        <f t="shared" si="5"/>
        <v>1</v>
      </c>
      <c r="E103" s="3">
        <f t="shared" si="6"/>
        <v>0.20851063829787234</v>
      </c>
      <c r="F103" s="3">
        <f t="shared" si="6"/>
        <v>0.18723404255319148</v>
      </c>
      <c r="G103" s="3">
        <f t="shared" si="6"/>
        <v>0.2723404255319149</v>
      </c>
      <c r="H103" s="3">
        <f t="shared" si="6"/>
        <v>0.24680851063829787</v>
      </c>
      <c r="I103" s="3">
        <f t="shared" si="6"/>
        <v>0.33617021276595743</v>
      </c>
      <c r="J103" s="3">
        <f t="shared" si="6"/>
        <v>0.10212765957446808</v>
      </c>
      <c r="K103" s="3">
        <f t="shared" si="6"/>
        <v>0</v>
      </c>
      <c r="L103" s="3">
        <f t="shared" si="6"/>
        <v>0</v>
      </c>
      <c r="M103" s="3">
        <f t="shared" si="6"/>
        <v>0</v>
      </c>
      <c r="N103" s="3">
        <f t="shared" si="6"/>
        <v>0</v>
      </c>
      <c r="O103" s="3">
        <f t="shared" si="6"/>
        <v>0</v>
      </c>
      <c r="P103" s="3">
        <f t="shared" si="6"/>
        <v>0</v>
      </c>
    </row>
    <row r="104" spans="3:16" x14ac:dyDescent="0.3">
      <c r="C104" s="2">
        <v>40725</v>
      </c>
      <c r="D104" s="3">
        <f t="shared" si="5"/>
        <v>1</v>
      </c>
      <c r="E104" s="3">
        <f t="shared" si="6"/>
        <v>0.20942408376963351</v>
      </c>
      <c r="F104" s="3">
        <f t="shared" si="6"/>
        <v>0.20418848167539266</v>
      </c>
      <c r="G104" s="3">
        <f t="shared" si="6"/>
        <v>0.23036649214659685</v>
      </c>
      <c r="H104" s="3">
        <f t="shared" si="6"/>
        <v>0.27225130890052357</v>
      </c>
      <c r="I104" s="3">
        <f t="shared" si="6"/>
        <v>0.11518324607329843</v>
      </c>
      <c r="J104" s="3">
        <f t="shared" si="6"/>
        <v>0</v>
      </c>
      <c r="K104" s="3">
        <f t="shared" si="6"/>
        <v>0</v>
      </c>
      <c r="L104" s="3">
        <f t="shared" si="6"/>
        <v>0</v>
      </c>
      <c r="M104" s="3">
        <f t="shared" si="6"/>
        <v>0</v>
      </c>
      <c r="N104" s="3">
        <f t="shared" si="6"/>
        <v>0</v>
      </c>
      <c r="O104" s="3">
        <f t="shared" si="6"/>
        <v>0</v>
      </c>
      <c r="P104" s="3">
        <f t="shared" si="6"/>
        <v>0</v>
      </c>
    </row>
    <row r="105" spans="3:16" x14ac:dyDescent="0.3">
      <c r="C105" s="2">
        <v>40756</v>
      </c>
      <c r="D105" s="3">
        <f t="shared" si="5"/>
        <v>1</v>
      </c>
      <c r="E105" s="3">
        <f t="shared" si="6"/>
        <v>0.25149700598802394</v>
      </c>
      <c r="F105" s="3">
        <f t="shared" si="6"/>
        <v>0.25149700598802394</v>
      </c>
      <c r="G105" s="3">
        <f t="shared" si="6"/>
        <v>0.25149700598802394</v>
      </c>
      <c r="H105" s="3">
        <f t="shared" si="6"/>
        <v>0.1377245508982036</v>
      </c>
      <c r="I105" s="3">
        <f t="shared" si="6"/>
        <v>0</v>
      </c>
      <c r="J105" s="3">
        <f t="shared" si="6"/>
        <v>0</v>
      </c>
      <c r="K105" s="3">
        <f t="shared" si="6"/>
        <v>0</v>
      </c>
      <c r="L105" s="3">
        <f t="shared" si="6"/>
        <v>0</v>
      </c>
      <c r="M105" s="3">
        <f t="shared" si="6"/>
        <v>0</v>
      </c>
      <c r="N105" s="3">
        <f t="shared" si="6"/>
        <v>0</v>
      </c>
      <c r="O105" s="3">
        <f t="shared" si="6"/>
        <v>0</v>
      </c>
      <c r="P105" s="3">
        <f t="shared" si="6"/>
        <v>0</v>
      </c>
    </row>
    <row r="106" spans="3:16" x14ac:dyDescent="0.3">
      <c r="C106" s="2">
        <v>40787</v>
      </c>
      <c r="D106" s="3">
        <f t="shared" si="5"/>
        <v>1</v>
      </c>
      <c r="E106" s="3">
        <f t="shared" si="6"/>
        <v>0.29865771812080538</v>
      </c>
      <c r="F106" s="3">
        <f t="shared" si="6"/>
        <v>0.32550335570469796</v>
      </c>
      <c r="G106" s="3">
        <f t="shared" si="6"/>
        <v>0.12080536912751678</v>
      </c>
      <c r="H106" s="3">
        <f t="shared" si="6"/>
        <v>0</v>
      </c>
      <c r="I106" s="3">
        <f t="shared" si="6"/>
        <v>0</v>
      </c>
      <c r="J106" s="3">
        <f t="shared" si="6"/>
        <v>0</v>
      </c>
      <c r="K106" s="3">
        <f t="shared" si="6"/>
        <v>0</v>
      </c>
      <c r="L106" s="3">
        <f t="shared" si="6"/>
        <v>0</v>
      </c>
      <c r="M106" s="3">
        <f t="shared" si="6"/>
        <v>0</v>
      </c>
      <c r="N106" s="3">
        <f t="shared" si="6"/>
        <v>0</v>
      </c>
      <c r="O106" s="3">
        <f t="shared" si="6"/>
        <v>0</v>
      </c>
      <c r="P106" s="3">
        <f t="shared" si="6"/>
        <v>0</v>
      </c>
    </row>
    <row r="107" spans="3:16" x14ac:dyDescent="0.3">
      <c r="C107" s="2">
        <v>40817</v>
      </c>
      <c r="D107" s="3">
        <f t="shared" si="5"/>
        <v>1</v>
      </c>
      <c r="E107" s="3">
        <f t="shared" si="6"/>
        <v>0.26420454545454547</v>
      </c>
      <c r="F107" s="3">
        <f t="shared" si="6"/>
        <v>0.13068181818181818</v>
      </c>
      <c r="G107" s="3">
        <f t="shared" si="6"/>
        <v>0</v>
      </c>
      <c r="H107" s="3">
        <f t="shared" si="6"/>
        <v>0</v>
      </c>
      <c r="I107" s="3">
        <f t="shared" si="6"/>
        <v>0</v>
      </c>
      <c r="J107" s="3">
        <f t="shared" si="6"/>
        <v>0</v>
      </c>
      <c r="K107" s="3">
        <f t="shared" si="6"/>
        <v>0</v>
      </c>
      <c r="L107" s="3">
        <f t="shared" si="6"/>
        <v>0</v>
      </c>
      <c r="M107" s="3">
        <f t="shared" si="6"/>
        <v>0</v>
      </c>
      <c r="N107" s="3">
        <f t="shared" si="6"/>
        <v>0</v>
      </c>
      <c r="O107" s="3">
        <f t="shared" si="6"/>
        <v>0</v>
      </c>
      <c r="P107" s="3">
        <f t="shared" si="6"/>
        <v>0</v>
      </c>
    </row>
    <row r="108" spans="3:16" x14ac:dyDescent="0.3">
      <c r="C108" s="2">
        <v>40848</v>
      </c>
      <c r="D108" s="3">
        <f t="shared" si="5"/>
        <v>1</v>
      </c>
      <c r="E108" s="3">
        <f t="shared" si="6"/>
        <v>0.13395638629283488</v>
      </c>
      <c r="F108" s="3">
        <f t="shared" si="6"/>
        <v>0</v>
      </c>
      <c r="G108" s="3">
        <f t="shared" si="6"/>
        <v>0</v>
      </c>
      <c r="H108" s="3">
        <f t="shared" si="6"/>
        <v>0</v>
      </c>
      <c r="I108" s="3">
        <f t="shared" si="6"/>
        <v>0</v>
      </c>
      <c r="J108" s="3">
        <f t="shared" si="6"/>
        <v>0</v>
      </c>
      <c r="K108" s="3">
        <f t="shared" si="6"/>
        <v>0</v>
      </c>
      <c r="L108" s="3">
        <f t="shared" si="6"/>
        <v>0</v>
      </c>
      <c r="M108" s="3">
        <f t="shared" si="6"/>
        <v>0</v>
      </c>
      <c r="N108" s="3">
        <f t="shared" si="6"/>
        <v>0</v>
      </c>
      <c r="O108" s="3">
        <f t="shared" si="6"/>
        <v>0</v>
      </c>
      <c r="P108" s="3">
        <f t="shared" si="6"/>
        <v>0</v>
      </c>
    </row>
    <row r="109" spans="3:16" x14ac:dyDescent="0.3">
      <c r="C109" s="2">
        <v>40878</v>
      </c>
      <c r="D109" s="3">
        <f t="shared" si="5"/>
        <v>1</v>
      </c>
      <c r="E109" s="3">
        <f t="shared" si="6"/>
        <v>0</v>
      </c>
      <c r="F109" s="3">
        <f t="shared" si="6"/>
        <v>0</v>
      </c>
      <c r="G109" s="3">
        <f t="shared" si="6"/>
        <v>0</v>
      </c>
      <c r="H109" s="3">
        <f t="shared" si="6"/>
        <v>0</v>
      </c>
      <c r="I109" s="3">
        <f t="shared" si="6"/>
        <v>0</v>
      </c>
      <c r="J109" s="3">
        <f t="shared" si="6"/>
        <v>0</v>
      </c>
      <c r="K109" s="3">
        <f t="shared" si="6"/>
        <v>0</v>
      </c>
      <c r="L109" s="3">
        <f t="shared" si="6"/>
        <v>0</v>
      </c>
      <c r="M109" s="3">
        <f t="shared" si="6"/>
        <v>0</v>
      </c>
      <c r="N109" s="3">
        <f t="shared" si="6"/>
        <v>0</v>
      </c>
      <c r="O109" s="3">
        <f t="shared" si="6"/>
        <v>0</v>
      </c>
      <c r="P109" s="3">
        <f t="shared" si="6"/>
        <v>0</v>
      </c>
    </row>
  </sheetData>
  <conditionalFormatting sqref="D8:P20">
    <cfRule type="colorScale" priority="5">
      <colorScale>
        <cfvo type="min"/>
        <cfvo type="max"/>
        <color rgb="FFFCFCFF"/>
        <color rgb="FF63BE7B"/>
      </colorScale>
    </cfRule>
  </conditionalFormatting>
  <conditionalFormatting sqref="D25:P37">
    <cfRule type="colorScale" priority="4">
      <colorScale>
        <cfvo type="min"/>
        <cfvo type="max"/>
        <color rgb="FFFCFCFF"/>
        <color rgb="FF63BE7B"/>
      </colorScale>
    </cfRule>
  </conditionalFormatting>
  <conditionalFormatting sqref="D43:P55">
    <cfRule type="colorScale" priority="3">
      <colorScale>
        <cfvo type="min"/>
        <cfvo type="max"/>
        <color rgb="FFFCFCFF"/>
        <color rgb="FF63BE7B"/>
      </colorScale>
    </cfRule>
  </conditionalFormatting>
  <conditionalFormatting sqref="E97:P10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4F88CF0C-B759-4EA6-9BC3-3950F1701D2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Sheet1!D97:P97</xm:f>
              <xm:sqref>Q97</xm:sqref>
            </x14:sparkline>
            <x14:sparkline>
              <xm:f>Sheet1!D98:P98</xm:f>
              <xm:sqref>Q98</xm:sqref>
            </x14:sparkline>
            <x14:sparkline>
              <xm:f>Sheet1!D99:P99</xm:f>
              <xm:sqref>Q99</xm:sqref>
            </x14:sparkline>
            <x14:sparkline>
              <xm:f>Sheet1!D100:P100</xm:f>
              <xm:sqref>Q100</xm:sqref>
            </x14:sparkline>
            <x14:sparkline>
              <xm:f>Sheet1!D101:P101</xm:f>
              <xm:sqref>Q101</xm:sqref>
            </x14:sparkline>
            <x14:sparkline>
              <xm:f>Sheet1!D102:P102</xm:f>
              <xm:sqref>Q102</xm:sqref>
            </x14:sparkline>
            <x14:sparkline>
              <xm:f>Sheet1!D103:P103</xm:f>
              <xm:sqref>Q103</xm:sqref>
            </x14:sparkline>
            <x14:sparkline>
              <xm:f>Sheet1!D104:P104</xm:f>
              <xm:sqref>Q104</xm:sqref>
            </x14:sparkline>
            <x14:sparkline>
              <xm:f>Sheet1!D105:P105</xm:f>
              <xm:sqref>Q105</xm:sqref>
            </x14:sparkline>
            <x14:sparkline>
              <xm:f>Sheet1!D106:P106</xm:f>
              <xm:sqref>Q106</xm:sqref>
            </x14:sparkline>
            <x14:sparkline>
              <xm:f>Sheet1!D107:P107</xm:f>
              <xm:sqref>Q107</xm:sqref>
            </x14:sparkline>
            <x14:sparkline>
              <xm:f>Sheet1!D108:P108</xm:f>
              <xm:sqref>Q108</xm:sqref>
            </x14:sparkline>
            <x14:sparkline>
              <xm:f>Sheet1!D109:P109</xm:f>
              <xm:sqref>Q109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social workers</dc:creator>
  <cp:lastModifiedBy>social workers</cp:lastModifiedBy>
  <dcterms:created xsi:type="dcterms:W3CDTF">2026-06-11T19:46:15Z</dcterms:created>
  <dcterms:modified xsi:type="dcterms:W3CDTF">2026-06-11T21:17:53Z</dcterms:modified>
</cp:coreProperties>
</file>